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portunities" sheetId="1" state="visible" r:id="rId3"/>
    <sheet name="Contacts" sheetId="2" state="visible" r:id="rId4"/>
    <sheet name="Activity log" sheetId="3" state="visible" r:id="rId5"/>
    <sheet name="CV versions" sheetId="4" state="visible" r:id="rId6"/>
    <sheet name="Ru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<sst xmlns="http://schemas.openxmlformats.org/spreadsheetml/2006/main" count="129" uniqueCount="112">
  <si>
    <t xml:space="preserve">ID</t>
  </si>
  <si>
    <t xml:space="preserve">Company</t>
  </si>
  <si>
    <t xml:space="preserve">Role</t>
  </si>
  <si>
    <t xml:space="preserve">Role type</t>
  </si>
  <si>
    <t xml:space="preserve">Source</t>
  </si>
  <si>
    <t xml:space="preserve">Job link</t>
  </si>
  <si>
    <t xml:space="preserve">Work mode</t>
  </si>
  <si>
    <t xml:space="preserve">Date found</t>
  </si>
  <si>
    <t xml:space="preserve">Stage</t>
  </si>
  <si>
    <t xml:space="preserve">Date entered stage</t>
  </si>
  <si>
    <t xml:space="preserve">Next to-do</t>
  </si>
  <si>
    <t xml:space="preserve">Due date</t>
  </si>
  <si>
    <t xml:space="preserve">Alert</t>
  </si>
  <si>
    <t xml:space="preserve">Fit: can do (1-5)</t>
  </si>
  <si>
    <t xml:space="preserve">Fit: want it (1-5)</t>
  </si>
  <si>
    <t xml:space="preserve">Verdict</t>
  </si>
  <si>
    <t xml:space="preserve">Pay offered (total)</t>
  </si>
  <si>
    <t xml:space="preserve">Meets floor</t>
  </si>
  <si>
    <t xml:space="preserve">Equity notes</t>
  </si>
  <si>
    <t xml:space="preserve">CV version sent</t>
  </si>
  <si>
    <t xml:space="preserve">Main contact</t>
  </si>
  <si>
    <t xml:space="preserve">Outcome</t>
  </si>
  <si>
    <t xml:space="preserve">Why</t>
  </si>
  <si>
    <t xml:space="preserve">Notes</t>
  </si>
  <si>
    <t xml:space="preserve">Contact ID</t>
  </si>
  <si>
    <t xml:space="preserve">Opportunity ID</t>
  </si>
  <si>
    <t xml:space="preserve">Name</t>
  </si>
  <si>
    <t xml:space="preserve">Title</t>
  </si>
  <si>
    <t xml:space="preserve">Role in process</t>
  </si>
  <si>
    <t xml:space="preserve">Warm path</t>
  </si>
  <si>
    <t xml:space="preserve">LinkedIn URL</t>
  </si>
  <si>
    <t xml:space="preserve">Email</t>
  </si>
  <si>
    <t xml:space="preserve">Date contacted</t>
  </si>
  <si>
    <t xml:space="preserve">Status</t>
  </si>
  <si>
    <t xml:space="preserve">Next follow-up</t>
  </si>
  <si>
    <t xml:space="preserve">Date</t>
  </si>
  <si>
    <t xml:space="preserve">Type</t>
  </si>
  <si>
    <t xml:space="preserve">Round #</t>
  </si>
  <si>
    <t xml:space="preserve">With</t>
  </si>
  <si>
    <t xml:space="preserve">What happened</t>
  </si>
  <si>
    <t xml:space="preserve">Next step</t>
  </si>
  <si>
    <t xml:space="preserve">CV version ID</t>
  </si>
  <si>
    <t xml:space="preserve">Built for (Opportunity ID)</t>
  </si>
  <si>
    <t xml:space="preserve">File name / link</t>
  </si>
  <si>
    <t xml:space="preserve">What changed vs master</t>
  </si>
  <si>
    <t xml:space="preserve">Fact bank items used</t>
  </si>
  <si>
    <t xml:space="preserve">Open questions before sending</t>
  </si>
  <si>
    <t xml:space="preserve">To-do</t>
  </si>
  <si>
    <t xml:space="preserve">Days</t>
  </si>
  <si>
    <t xml:space="preserve">Setting</t>
  </si>
  <si>
    <t xml:space="preserve">Value (fill in)</t>
  </si>
  <si>
    <t xml:space="preserve">Contact status</t>
  </si>
  <si>
    <t xml:space="preserve">Activity type</t>
  </si>
  <si>
    <t xml:space="preserve">1 Found</t>
  </si>
  <si>
    <t xml:space="preserve">Score fit, decide apply / stretch / skip</t>
  </si>
  <si>
    <t xml:space="preserve">Pay floor (total per year)</t>
  </si>
  <si>
    <t xml:space="preserve">Private walk-away line. Leave blank until you decide.</t>
  </si>
  <si>
    <t xml:space="preserve">Strategy &amp; operations</t>
  </si>
  <si>
    <t xml:space="preserve">Office</t>
  </si>
  <si>
    <t xml:space="preserve">Apply</t>
  </si>
  <si>
    <t xml:space="preserve">Offer accepted</t>
  </si>
  <si>
    <t xml:space="preserve">Not contacted</t>
  </si>
  <si>
    <t xml:space="preserve">Application</t>
  </si>
  <si>
    <t xml:space="preserve">Careers page</t>
  </si>
  <si>
    <t xml:space="preserve">2 Referral</t>
  </si>
  <si>
    <t xml:space="preserve">Contact 1-2 people at the company before applying</t>
  </si>
  <si>
    <t xml:space="preserve">Pay target (total cash per year)</t>
  </si>
  <si>
    <t xml:space="preserve">What you anchor on if pressed.</t>
  </si>
  <si>
    <t xml:space="preserve">Chief of staff</t>
  </si>
  <si>
    <t xml:space="preserve">Hybrid</t>
  </si>
  <si>
    <t xml:space="preserve">Stretch</t>
  </si>
  <si>
    <t xml:space="preserve">Offer declined</t>
  </si>
  <si>
    <t xml:space="preserve">Contacted</t>
  </si>
  <si>
    <t xml:space="preserve">Message</t>
  </si>
  <si>
    <t xml:space="preserve">LinkedIn post</t>
  </si>
  <si>
    <t xml:space="preserve">3 Applied</t>
  </si>
  <si>
    <t xml:space="preserve">Apply with tailored CV, log CV version</t>
  </si>
  <si>
    <t xml:space="preserve">Currency</t>
  </si>
  <si>
    <t xml:space="preserve">Partnerships</t>
  </si>
  <si>
    <t xml:space="preserve">Remote</t>
  </si>
  <si>
    <t xml:space="preserve">Skip</t>
  </si>
  <si>
    <t xml:space="preserve">Rejected</t>
  </si>
  <si>
    <t xml:space="preserve">Replied</t>
  </si>
  <si>
    <t xml:space="preserve">Referral</t>
  </si>
  <si>
    <t xml:space="preserve">LinkedIn jobs</t>
  </si>
  <si>
    <t xml:space="preserve">4 Follow-up 1</t>
  </si>
  <si>
    <t xml:space="preserve">Send follow-up #1 (day 7)</t>
  </si>
  <si>
    <t xml:space="preserve">Solutions</t>
  </si>
  <si>
    <t xml:space="preserve">Unknown</t>
  </si>
  <si>
    <t xml:space="preserve">No reply</t>
  </si>
  <si>
    <t xml:space="preserve">Referred</t>
  </si>
  <si>
    <t xml:space="preserve">Interview</t>
  </si>
  <si>
    <t xml:space="preserve">Job board</t>
  </si>
  <si>
    <t xml:space="preserve">5 Follow-up 2</t>
  </si>
  <si>
    <t xml:space="preserve">Send follow-up #2 (day 14), then close if no reply</t>
  </si>
  <si>
    <t xml:space="preserve">Sales</t>
  </si>
  <si>
    <t xml:space="preserve">Withdrew</t>
  </si>
  <si>
    <t xml:space="preserve">Feedback</t>
  </si>
  <si>
    <t xml:space="preserve">6 Interviewing</t>
  </si>
  <si>
    <t xml:space="preserve">Prep next round, thank-you within 24h</t>
  </si>
  <si>
    <t xml:space="preserve">Country manager</t>
  </si>
  <si>
    <t xml:space="preserve">Role closed</t>
  </si>
  <si>
    <t xml:space="preserve">Declined</t>
  </si>
  <si>
    <t xml:space="preserve">Offer</t>
  </si>
  <si>
    <t xml:space="preserve">Recruiter</t>
  </si>
  <si>
    <t xml:space="preserve">7 Offer</t>
  </si>
  <si>
    <t xml:space="preserve">Check against pay floor, negotiate or decide</t>
  </si>
  <si>
    <t xml:space="preserve">Other</t>
  </si>
  <si>
    <t xml:space="preserve">Note</t>
  </si>
  <si>
    <t xml:space="preserve">8 Closed</t>
  </si>
  <si>
    <t xml:space="preserve">Log outcome and reason</t>
  </si>
  <si>
    <t xml:space="preserve">Edit stages, days and dropdown lists here. Grey header columns in other tabs are formulas: don't type in them.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</si>
</sst>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E7E6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24"/>
    <col collapsed="false" customWidth="true" hidden="false" outlineLevel="0" max="10" min="7" style="0" width="16"/>
    <col collapsed="false" customWidth="true" hidden="false" outlineLevel="0" max="11" min="11" style="0" width="34"/>
    <col collapsed="false" customWidth="true" hidden="false" outlineLevel="0" max="22" min="12" style="0" width="16"/>
    <col collapsed="false" customWidth="true" hidden="false" outlineLevel="0" max="23" min="23" style="0" width="24"/>
    <col collapsed="false" customWidth="true" hidden="false" outlineLevel="0" max="24" min="24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H2" s="3"/>
      <c r="J2" s="3"/>
      <c r="K2" s="4" t="str">
        <f aca="false">IF(I2="","",IFERROR(VLOOKUP(I2,Rules!$A$2:$C$9,2,FALSE()),""))</f>
        <v/>
      </c>
      <c r="L2" s="5" t="str">
        <f aca="false">IF(OR(I2="",J2=""),"",IFERROR(J2+VLOOKUP(I2,Rules!$A$2:$C$9,3,FALSE()),""))</f>
        <v/>
      </c>
      <c r="M2" s="4" t="str">
        <f aca="true">IF(OR(L2="",I2="8 Closed"),"",IF(L2&lt;TODAY(),"OVERDUE",IF(L2-TODAY()&lt;=2,"Due soon","")))</f>
        <v/>
      </c>
      <c r="R2" s="4" t="str">
        <f aca="false">IF(OR(Q2="",Rules!$F$2=""),"",IF(Q2&gt;=Rules!$F$2,"Yes","No"))</f>
        <v/>
      </c>
    </row>
    <row r="3" customFormat="false" ht="15" hidden="false" customHeight="false" outlineLevel="0" collapsed="false">
      <c r="H3" s="3"/>
      <c r="J3" s="3"/>
      <c r="K3" s="4" t="str">
        <f aca="false">IF(I3="","",IFERROR(VLOOKUP(I3,Rules!$A$2:$C$9,2,FALSE()),""))</f>
        <v/>
      </c>
      <c r="L3" s="5" t="str">
        <f aca="false">IF(OR(I3="",J3=""),"",IFERROR(J3+VLOOKUP(I3,Rules!$A$2:$C$9,3,FALSE()),""))</f>
        <v/>
      </c>
      <c r="M3" s="4" t="str">
        <f aca="true">IF(OR(L3="",I3="8 Closed"),"",IF(L3&lt;TODAY(),"OVERDUE",IF(L3-TODAY()&lt;=2,"Due soon","")))</f>
        <v/>
      </c>
      <c r="R3" s="4" t="str">
        <f aca="false">IF(OR(Q3="",Rules!$F$2=""),"",IF(Q3&gt;=Rules!$F$2,"Yes","No"))</f>
        <v/>
      </c>
    </row>
    <row r="4" customFormat="false" ht="15" hidden="false" customHeight="false" outlineLevel="0" collapsed="false">
      <c r="H4" s="3"/>
      <c r="J4" s="3"/>
      <c r="K4" s="4" t="str">
        <f aca="false">IF(I4="","",IFERROR(VLOOKUP(I4,Rules!$A$2:$C$9,2,FALSE()),""))</f>
        <v/>
      </c>
      <c r="L4" s="5" t="str">
        <f aca="false">IF(OR(I4="",J4=""),"",IFERROR(J4+VLOOKUP(I4,Rules!$A$2:$C$9,3,FALSE()),""))</f>
        <v/>
      </c>
      <c r="M4" s="4" t="str">
        <f aca="true">IF(OR(L4="",I4="8 Closed"),"",IF(L4&lt;TODAY(),"OVERDUE",IF(L4-TODAY()&lt;=2,"Due soon","")))</f>
        <v/>
      </c>
      <c r="R4" s="4" t="str">
        <f aca="false">IF(OR(Q4="",Rules!$F$2=""),"",IF(Q4&gt;=Rules!$F$2,"Yes","No"))</f>
        <v/>
      </c>
    </row>
    <row r="5" customFormat="false" ht="15" hidden="false" customHeight="false" outlineLevel="0" collapsed="false">
      <c r="H5" s="3"/>
      <c r="J5" s="3"/>
      <c r="K5" s="4" t="str">
        <f aca="false">IF(I5="","",IFERROR(VLOOKUP(I5,Rules!$A$2:$C$9,2,FALSE()),""))</f>
        <v/>
      </c>
      <c r="L5" s="5" t="str">
        <f aca="false">IF(OR(I5="",J5=""),"",IFERROR(J5+VLOOKUP(I5,Rules!$A$2:$C$9,3,FALSE()),""))</f>
        <v/>
      </c>
      <c r="M5" s="4" t="str">
        <f aca="true">IF(OR(L5="",I5="8 Closed"),"",IF(L5&lt;TODAY(),"OVERDUE",IF(L5-TODAY()&lt;=2,"Due soon","")))</f>
        <v/>
      </c>
      <c r="R5" s="4" t="str">
        <f aca="false">IF(OR(Q5="",Rules!$F$2=""),"",IF(Q5&gt;=Rules!$F$2,"Yes","No"))</f>
        <v/>
      </c>
    </row>
    <row r="6" customFormat="false" ht="15" hidden="false" customHeight="false" outlineLevel="0" collapsed="false">
      <c r="H6" s="3"/>
      <c r="J6" s="3"/>
      <c r="K6" s="4" t="str">
        <f aca="false">IF(I6="","",IFERROR(VLOOKUP(I6,Rules!$A$2:$C$9,2,FALSE()),""))</f>
        <v/>
      </c>
      <c r="L6" s="5" t="str">
        <f aca="false">IF(OR(I6="",J6=""),"",IFERROR(J6+VLOOKUP(I6,Rules!$A$2:$C$9,3,FALSE()),""))</f>
        <v/>
      </c>
      <c r="M6" s="4" t="str">
        <f aca="true">IF(OR(L6="",I6="8 Closed"),"",IF(L6&lt;TODAY(),"OVERDUE",IF(L6-TODAY()&lt;=2,"Due soon","")))</f>
        <v/>
      </c>
      <c r="R6" s="4" t="str">
        <f aca="false">IF(OR(Q6="",Rules!$F$2=""),"",IF(Q6&gt;=Rules!$F$2,"Yes","No"))</f>
        <v/>
      </c>
    </row>
    <row r="7" customFormat="false" ht="15" hidden="false" customHeight="false" outlineLevel="0" collapsed="false">
      <c r="H7" s="3"/>
      <c r="J7" s="3"/>
      <c r="K7" s="4" t="str">
        <f aca="false">IF(I7="","",IFERROR(VLOOKUP(I7,Rules!$A$2:$C$9,2,FALSE()),""))</f>
        <v/>
      </c>
      <c r="L7" s="5" t="str">
        <f aca="false">IF(OR(I7="",J7=""),"",IFERROR(J7+VLOOKUP(I7,Rules!$A$2:$C$9,3,FALSE()),""))</f>
        <v/>
      </c>
      <c r="M7" s="4" t="str">
        <f aca="true">IF(OR(L7="",I7="8 Closed"),"",IF(L7&lt;TODAY(),"OVERDUE",IF(L7-TODAY()&lt;=2,"Due soon","")))</f>
        <v/>
      </c>
      <c r="R7" s="4" t="str">
        <f aca="false">IF(OR(Q7="",Rules!$F$2=""),"",IF(Q7&gt;=Rules!$F$2,"Yes","No"))</f>
        <v/>
      </c>
    </row>
    <row r="8" customFormat="false" ht="15" hidden="false" customHeight="false" outlineLevel="0" collapsed="false">
      <c r="H8" s="3"/>
      <c r="J8" s="3"/>
      <c r="K8" s="4" t="str">
        <f aca="false">IF(I8="","",IFERROR(VLOOKUP(I8,Rules!$A$2:$C$9,2,FALSE()),""))</f>
        <v/>
      </c>
      <c r="L8" s="5" t="str">
        <f aca="false">IF(OR(I8="",J8=""),"",IFERROR(J8+VLOOKUP(I8,Rules!$A$2:$C$9,3,FALSE()),""))</f>
        <v/>
      </c>
      <c r="M8" s="4" t="str">
        <f aca="true">IF(OR(L8="",I8="8 Closed"),"",IF(L8&lt;TODAY(),"OVERDUE",IF(L8-TODAY()&lt;=2,"Due soon","")))</f>
        <v/>
      </c>
      <c r="R8" s="4" t="str">
        <f aca="false">IF(OR(Q8="",Rules!$F$2=""),"",IF(Q8&gt;=Rules!$F$2,"Yes","No"))</f>
        <v/>
      </c>
    </row>
    <row r="9" customFormat="false" ht="15" hidden="false" customHeight="false" outlineLevel="0" collapsed="false">
      <c r="H9" s="3"/>
      <c r="J9" s="3"/>
      <c r="K9" s="4" t="str">
        <f aca="false">IF(I9="","",IFERROR(VLOOKUP(I9,Rules!$A$2:$C$9,2,FALSE()),""))</f>
        <v/>
      </c>
      <c r="L9" s="5" t="str">
        <f aca="false">IF(OR(I9="",J9=""),"",IFERROR(J9+VLOOKUP(I9,Rules!$A$2:$C$9,3,FALSE()),""))</f>
        <v/>
      </c>
      <c r="M9" s="4" t="str">
        <f aca="true">IF(OR(L9="",I9="8 Closed"),"",IF(L9&lt;TODAY(),"OVERDUE",IF(L9-TODAY()&lt;=2,"Due soon","")))</f>
        <v/>
      </c>
      <c r="R9" s="4" t="str">
        <f aca="false">IF(OR(Q9="",Rules!$F$2=""),"",IF(Q9&gt;=Rules!$F$2,"Yes","No"))</f>
        <v/>
      </c>
    </row>
    <row r="10" customFormat="false" ht="15" hidden="false" customHeight="false" outlineLevel="0" collapsed="false">
      <c r="H10" s="3"/>
      <c r="J10" s="3"/>
      <c r="K10" s="4" t="str">
        <f aca="false">IF(I10="","",IFERROR(VLOOKUP(I10,Rules!$A$2:$C$9,2,FALSE()),""))</f>
        <v/>
      </c>
      <c r="L10" s="5" t="str">
        <f aca="false">IF(OR(I10="",J10=""),"",IFERROR(J10+VLOOKUP(I10,Rules!$A$2:$C$9,3,FALSE()),""))</f>
        <v/>
      </c>
      <c r="M10" s="4" t="str">
        <f aca="true">IF(OR(L10="",I10="8 Closed"),"",IF(L10&lt;TODAY(),"OVERDUE",IF(L10-TODAY()&lt;=2,"Due soon","")))</f>
        <v/>
      </c>
      <c r="R10" s="4" t="str">
        <f aca="false">IF(OR(Q10="",Rules!$F$2=""),"",IF(Q10&gt;=Rules!$F$2,"Yes","No"))</f>
        <v/>
      </c>
    </row>
    <row r="11" customFormat="false" ht="15" hidden="false" customHeight="false" outlineLevel="0" collapsed="false">
      <c r="H11" s="3"/>
      <c r="J11" s="3"/>
      <c r="K11" s="4" t="str">
        <f aca="false">IF(I11="","",IFERROR(VLOOKUP(I11,Rules!$A$2:$C$9,2,FALSE()),""))</f>
        <v/>
      </c>
      <c r="L11" s="5" t="str">
        <f aca="false">IF(OR(I11="",J11=""),"",IFERROR(J11+VLOOKUP(I11,Rules!$A$2:$C$9,3,FALSE()),""))</f>
        <v/>
      </c>
      <c r="M11" s="4" t="str">
        <f aca="true">IF(OR(L11="",I11="8 Closed"),"",IF(L11&lt;TODAY(),"OVERDUE",IF(L11-TODAY()&lt;=2,"Due soon","")))</f>
        <v/>
      </c>
      <c r="R11" s="4" t="str">
        <f aca="false">IF(OR(Q11="",Rules!$F$2=""),"",IF(Q11&gt;=Rules!$F$2,"Yes","No"))</f>
        <v/>
      </c>
    </row>
    <row r="12" customFormat="false" ht="15" hidden="false" customHeight="false" outlineLevel="0" collapsed="false">
      <c r="H12" s="3"/>
      <c r="J12" s="3"/>
      <c r="K12" s="4" t="str">
        <f aca="false">IF(I12="","",IFERROR(VLOOKUP(I12,Rules!$A$2:$C$9,2,FALSE()),""))</f>
        <v/>
      </c>
      <c r="L12" s="5" t="str">
        <f aca="false">IF(OR(I12="",J12=""),"",IFERROR(J12+VLOOKUP(I12,Rules!$A$2:$C$9,3,FALSE()),""))</f>
        <v/>
      </c>
      <c r="M12" s="4" t="str">
        <f aca="true">IF(OR(L12="",I12="8 Closed"),"",IF(L12&lt;TODAY(),"OVERDUE",IF(L12-TODAY()&lt;=2,"Due soon","")))</f>
        <v/>
      </c>
      <c r="R12" s="4" t="str">
        <f aca="false">IF(OR(Q12="",Rules!$F$2=""),"",IF(Q12&gt;=Rules!$F$2,"Yes","No"))</f>
        <v/>
      </c>
    </row>
    <row r="13" customFormat="false" ht="15" hidden="false" customHeight="false" outlineLevel="0" collapsed="false">
      <c r="H13" s="3"/>
      <c r="J13" s="3"/>
      <c r="K13" s="4" t="str">
        <f aca="false">IF(I13="","",IFERROR(VLOOKUP(I13,Rules!$A$2:$C$9,2,FALSE()),""))</f>
        <v/>
      </c>
      <c r="L13" s="5" t="str">
        <f aca="false">IF(OR(I13="",J13=""),"",IFERROR(J13+VLOOKUP(I13,Rules!$A$2:$C$9,3,FALSE()),""))</f>
        <v/>
      </c>
      <c r="M13" s="4" t="str">
        <f aca="true">IF(OR(L13="",I13="8 Closed"),"",IF(L13&lt;TODAY(),"OVERDUE",IF(L13-TODAY()&lt;=2,"Due soon","")))</f>
        <v/>
      </c>
      <c r="R13" s="4" t="str">
        <f aca="false">IF(OR(Q13="",Rules!$F$2=""),"",IF(Q13&gt;=Rules!$F$2,"Yes","No"))</f>
        <v/>
      </c>
    </row>
    <row r="14" customFormat="false" ht="15" hidden="false" customHeight="false" outlineLevel="0" collapsed="false">
      <c r="H14" s="3"/>
      <c r="J14" s="3"/>
      <c r="K14" s="4" t="str">
        <f aca="false">IF(I14="","",IFERROR(VLOOKUP(I14,Rules!$A$2:$C$9,2,FALSE()),""))</f>
        <v/>
      </c>
      <c r="L14" s="5" t="str">
        <f aca="false">IF(OR(I14="",J14=""),"",IFERROR(J14+VLOOKUP(I14,Rules!$A$2:$C$9,3,FALSE()),""))</f>
        <v/>
      </c>
      <c r="M14" s="4" t="str">
        <f aca="true">IF(OR(L14="",I14="8 Closed"),"",IF(L14&lt;TODAY(),"OVERDUE",IF(L14-TODAY()&lt;=2,"Due soon","")))</f>
        <v/>
      </c>
      <c r="R14" s="4" t="str">
        <f aca="false">IF(OR(Q14="",Rules!$F$2=""),"",IF(Q14&gt;=Rules!$F$2,"Yes","No"))</f>
        <v/>
      </c>
    </row>
    <row r="15" customFormat="false" ht="15" hidden="false" customHeight="false" outlineLevel="0" collapsed="false">
      <c r="H15" s="3"/>
      <c r="J15" s="3"/>
      <c r="K15" s="4" t="str">
        <f aca="false">IF(I15="","",IFERROR(VLOOKUP(I15,Rules!$A$2:$C$9,2,FALSE()),""))</f>
        <v/>
      </c>
      <c r="L15" s="5" t="str">
        <f aca="false">IF(OR(I15="",J15=""),"",IFERROR(J15+VLOOKUP(I15,Rules!$A$2:$C$9,3,FALSE()),""))</f>
        <v/>
      </c>
      <c r="M15" s="4" t="str">
        <f aca="true">IF(OR(L15="",I15="8 Closed"),"",IF(L15&lt;TODAY(),"OVERDUE",IF(L15-TODAY()&lt;=2,"Due soon","")))</f>
        <v/>
      </c>
      <c r="R15" s="4" t="str">
        <f aca="false">IF(OR(Q15="",Rules!$F$2=""),"",IF(Q15&gt;=Rules!$F$2,"Yes","No"))</f>
        <v/>
      </c>
    </row>
    <row r="16" customFormat="false" ht="15" hidden="false" customHeight="false" outlineLevel="0" collapsed="false">
      <c r="H16" s="3"/>
      <c r="J16" s="3"/>
      <c r="K16" s="4" t="str">
        <f aca="false">IF(I16="","",IFERROR(VLOOKUP(I16,Rules!$A$2:$C$9,2,FALSE()),""))</f>
        <v/>
      </c>
      <c r="L16" s="5" t="str">
        <f aca="false">IF(OR(I16="",J16=""),"",IFERROR(J16+VLOOKUP(I16,Rules!$A$2:$C$9,3,FALSE()),""))</f>
        <v/>
      </c>
      <c r="M16" s="4" t="str">
        <f aca="true">IF(OR(L16="",I16="8 Closed"),"",IF(L16&lt;TODAY(),"OVERDUE",IF(L16-TODAY()&lt;=2,"Due soon","")))</f>
        <v/>
      </c>
      <c r="R16" s="4" t="str">
        <f aca="false">IF(OR(Q16="",Rules!$F$2=""),"",IF(Q16&gt;=Rules!$F$2,"Yes","No"))</f>
        <v/>
      </c>
    </row>
    <row r="17" customFormat="false" ht="15" hidden="false" customHeight="false" outlineLevel="0" collapsed="false">
      <c r="H17" s="3"/>
      <c r="J17" s="3"/>
      <c r="K17" s="4" t="str">
        <f aca="false">IF(I17="","",IFERROR(VLOOKUP(I17,Rules!$A$2:$C$9,2,FALSE()),""))</f>
        <v/>
      </c>
      <c r="L17" s="5" t="str">
        <f aca="false">IF(OR(I17="",J17=""),"",IFERROR(J17+VLOOKUP(I17,Rules!$A$2:$C$9,3,FALSE()),""))</f>
        <v/>
      </c>
      <c r="M17" s="4" t="str">
        <f aca="true">IF(OR(L17="",I17="8 Closed"),"",IF(L17&lt;TODAY(),"OVERDUE",IF(L17-TODAY()&lt;=2,"Due soon","")))</f>
        <v/>
      </c>
      <c r="R17" s="4" t="str">
        <f aca="false">IF(OR(Q17="",Rules!$F$2=""),"",IF(Q17&gt;=Rules!$F$2,"Yes","No"))</f>
        <v/>
      </c>
    </row>
    <row r="18" customFormat="false" ht="15" hidden="false" customHeight="false" outlineLevel="0" collapsed="false">
      <c r="H18" s="3"/>
      <c r="J18" s="3"/>
      <c r="K18" s="4" t="str">
        <f aca="false">IF(I18="","",IFERROR(VLOOKUP(I18,Rules!$A$2:$C$9,2,FALSE()),""))</f>
        <v/>
      </c>
      <c r="L18" s="5" t="str">
        <f aca="false">IF(OR(I18="",J18=""),"",IFERROR(J18+VLOOKUP(I18,Rules!$A$2:$C$9,3,FALSE()),""))</f>
        <v/>
      </c>
      <c r="M18" s="4" t="str">
        <f aca="true">IF(OR(L18="",I18="8 Closed"),"",IF(L18&lt;TODAY(),"OVERDUE",IF(L18-TODAY()&lt;=2,"Due soon","")))</f>
        <v/>
      </c>
      <c r="R18" s="4" t="str">
        <f aca="false">IF(OR(Q18="",Rules!$F$2=""),"",IF(Q18&gt;=Rules!$F$2,"Yes","No"))</f>
        <v/>
      </c>
    </row>
    <row r="19" customFormat="false" ht="15" hidden="false" customHeight="false" outlineLevel="0" collapsed="false">
      <c r="H19" s="3"/>
      <c r="J19" s="3"/>
      <c r="K19" s="4" t="str">
        <f aca="false">IF(I19="","",IFERROR(VLOOKUP(I19,Rules!$A$2:$C$9,2,FALSE()),""))</f>
        <v/>
      </c>
      <c r="L19" s="5" t="str">
        <f aca="false">IF(OR(I19="",J19=""),"",IFERROR(J19+VLOOKUP(I19,Rules!$A$2:$C$9,3,FALSE()),""))</f>
        <v/>
      </c>
      <c r="M19" s="4" t="str">
        <f aca="true">IF(OR(L19="",I19="8 Closed"),"",IF(L19&lt;TODAY(),"OVERDUE",IF(L19-TODAY()&lt;=2,"Due soon","")))</f>
        <v/>
      </c>
      <c r="R19" s="4" t="str">
        <f aca="false">IF(OR(Q19="",Rules!$F$2=""),"",IF(Q19&gt;=Rules!$F$2,"Yes","No"))</f>
        <v/>
      </c>
    </row>
    <row r="20" customFormat="false" ht="15" hidden="false" customHeight="false" outlineLevel="0" collapsed="false">
      <c r="H20" s="3"/>
      <c r="J20" s="3"/>
      <c r="K20" s="4" t="str">
        <f aca="false">IF(I20="","",IFERROR(VLOOKUP(I20,Rules!$A$2:$C$9,2,FALSE()),""))</f>
        <v/>
      </c>
      <c r="L20" s="5" t="str">
        <f aca="false">IF(OR(I20="",J20=""),"",IFERROR(J20+VLOOKUP(I20,Rules!$A$2:$C$9,3,FALSE()),""))</f>
        <v/>
      </c>
      <c r="M20" s="4" t="str">
        <f aca="true">IF(OR(L20="",I20="8 Closed"),"",IF(L20&lt;TODAY(),"OVERDUE",IF(L20-TODAY()&lt;=2,"Due soon","")))</f>
        <v/>
      </c>
      <c r="R20" s="4" t="str">
        <f aca="false">IF(OR(Q20="",Rules!$F$2=""),"",IF(Q20&gt;=Rules!$F$2,"Yes","No"))</f>
        <v/>
      </c>
    </row>
    <row r="21" customFormat="false" ht="15" hidden="false" customHeight="false" outlineLevel="0" collapsed="false">
      <c r="H21" s="3"/>
      <c r="J21" s="3"/>
      <c r="K21" s="4" t="str">
        <f aca="false">IF(I21="","",IFERROR(VLOOKUP(I21,Rules!$A$2:$C$9,2,FALSE()),""))</f>
        <v/>
      </c>
      <c r="L21" s="5" t="str">
        <f aca="false">IF(OR(I21="",J21=""),"",IFERROR(J21+VLOOKUP(I21,Rules!$A$2:$C$9,3,FALSE()),""))</f>
        <v/>
      </c>
      <c r="M21" s="4" t="str">
        <f aca="true">IF(OR(L21="",I21="8 Closed"),"",IF(L21&lt;TODAY(),"OVERDUE",IF(L21-TODAY()&lt;=2,"Due soon","")))</f>
        <v/>
      </c>
      <c r="R21" s="4" t="str">
        <f aca="false">IF(OR(Q21="",Rules!$F$2=""),"",IF(Q21&gt;=Rules!$F$2,"Yes","No"))</f>
        <v/>
      </c>
    </row>
    <row r="22" customFormat="false" ht="15" hidden="false" customHeight="false" outlineLevel="0" collapsed="false">
      <c r="H22" s="3"/>
      <c r="J22" s="3"/>
      <c r="K22" s="4" t="str">
        <f aca="false">IF(I22="","",IFERROR(VLOOKUP(I22,Rules!$A$2:$C$9,2,FALSE()),""))</f>
        <v/>
      </c>
      <c r="L22" s="5" t="str">
        <f aca="false">IF(OR(I22="",J22=""),"",IFERROR(J22+VLOOKUP(I22,Rules!$A$2:$C$9,3,FALSE()),""))</f>
        <v/>
      </c>
      <c r="M22" s="4" t="str">
        <f aca="true">IF(OR(L22="",I22="8 Closed"),"",IF(L22&lt;TODAY(),"OVERDUE",IF(L22-TODAY()&lt;=2,"Due soon","")))</f>
        <v/>
      </c>
      <c r="R22" s="4" t="str">
        <f aca="false">IF(OR(Q22="",Rules!$F$2=""),"",IF(Q22&gt;=Rules!$F$2,"Yes","No"))</f>
        <v/>
      </c>
    </row>
    <row r="23" customFormat="false" ht="15" hidden="false" customHeight="false" outlineLevel="0" collapsed="false">
      <c r="H23" s="3"/>
      <c r="J23" s="3"/>
      <c r="K23" s="4" t="str">
        <f aca="false">IF(I23="","",IFERROR(VLOOKUP(I23,Rules!$A$2:$C$9,2,FALSE()),""))</f>
        <v/>
      </c>
      <c r="L23" s="5" t="str">
        <f aca="false">IF(OR(I23="",J23=""),"",IFERROR(J23+VLOOKUP(I23,Rules!$A$2:$C$9,3,FALSE()),""))</f>
        <v/>
      </c>
      <c r="M23" s="4" t="str">
        <f aca="true">IF(OR(L23="",I23="8 Closed"),"",IF(L23&lt;TODAY(),"OVERDUE",IF(L23-TODAY()&lt;=2,"Due soon","")))</f>
        <v/>
      </c>
      <c r="R23" s="4" t="str">
        <f aca="false">IF(OR(Q23="",Rules!$F$2=""),"",IF(Q23&gt;=Rules!$F$2,"Yes","No"))</f>
        <v/>
      </c>
    </row>
    <row r="24" customFormat="false" ht="15" hidden="false" customHeight="false" outlineLevel="0" collapsed="false">
      <c r="H24" s="3"/>
      <c r="J24" s="3"/>
      <c r="K24" s="4" t="str">
        <f aca="false">IF(I24="","",IFERROR(VLOOKUP(I24,Rules!$A$2:$C$9,2,FALSE()),""))</f>
        <v/>
      </c>
      <c r="L24" s="5" t="str">
        <f aca="false">IF(OR(I24="",J24=""),"",IFERROR(J24+VLOOKUP(I24,Rules!$A$2:$C$9,3,FALSE()),""))</f>
        <v/>
      </c>
      <c r="M24" s="4" t="str">
        <f aca="true">IF(OR(L24="",I24="8 Closed"),"",IF(L24&lt;TODAY(),"OVERDUE",IF(L24-TODAY()&lt;=2,"Due soon","")))</f>
        <v/>
      </c>
      <c r="R24" s="4" t="str">
        <f aca="false">IF(OR(Q24="",Rules!$F$2=""),"",IF(Q24&gt;=Rules!$F$2,"Yes","No"))</f>
        <v/>
      </c>
    </row>
    <row r="25" customFormat="false" ht="15" hidden="false" customHeight="false" outlineLevel="0" collapsed="false">
      <c r="H25" s="3"/>
      <c r="J25" s="3"/>
      <c r="K25" s="4" t="str">
        <f aca="false">IF(I25="","",IFERROR(VLOOKUP(I25,Rules!$A$2:$C$9,2,FALSE()),""))</f>
        <v/>
      </c>
      <c r="L25" s="5" t="str">
        <f aca="false">IF(OR(I25="",J25=""),"",IFERROR(J25+VLOOKUP(I25,Rules!$A$2:$C$9,3,FALSE()),""))</f>
        <v/>
      </c>
      <c r="M25" s="4" t="str">
        <f aca="true">IF(OR(L25="",I25="8 Closed"),"",IF(L25&lt;TODAY(),"OVERDUE",IF(L25-TODAY()&lt;=2,"Due soon","")))</f>
        <v/>
      </c>
      <c r="R25" s="4" t="str">
        <f aca="false">IF(OR(Q25="",Rules!$F$2=""),"",IF(Q25&gt;=Rules!$F$2,"Yes","No"))</f>
        <v/>
      </c>
    </row>
    <row r="26" customFormat="false" ht="15" hidden="false" customHeight="false" outlineLevel="0" collapsed="false">
      <c r="H26" s="3"/>
      <c r="J26" s="3"/>
      <c r="K26" s="4" t="str">
        <f aca="false">IF(I26="","",IFERROR(VLOOKUP(I26,Rules!$A$2:$C$9,2,FALSE()),""))</f>
        <v/>
      </c>
      <c r="L26" s="5" t="str">
        <f aca="false">IF(OR(I26="",J26=""),"",IFERROR(J26+VLOOKUP(I26,Rules!$A$2:$C$9,3,FALSE()),""))</f>
        <v/>
      </c>
      <c r="M26" s="4" t="str">
        <f aca="true">IF(OR(L26="",I26="8 Closed"),"",IF(L26&lt;TODAY(),"OVERDUE",IF(L26-TODAY()&lt;=2,"Due soon","")))</f>
        <v/>
      </c>
      <c r="R26" s="4" t="str">
        <f aca="false">IF(OR(Q26="",Rules!$F$2=""),"",IF(Q26&gt;=Rules!$F$2,"Yes","No"))</f>
        <v/>
      </c>
    </row>
    <row r="27" customFormat="false" ht="15" hidden="false" customHeight="false" outlineLevel="0" collapsed="false">
      <c r="H27" s="3"/>
      <c r="J27" s="3"/>
      <c r="K27" s="4" t="str">
        <f aca="false">IF(I27="","",IFERROR(VLOOKUP(I27,Rules!$A$2:$C$9,2,FALSE()),""))</f>
        <v/>
      </c>
      <c r="L27" s="5" t="str">
        <f aca="false">IF(OR(I27="",J27=""),"",IFERROR(J27+VLOOKUP(I27,Rules!$A$2:$C$9,3,FALSE()),""))</f>
        <v/>
      </c>
      <c r="M27" s="4" t="str">
        <f aca="true">IF(OR(L27="",I27="8 Closed"),"",IF(L27&lt;TODAY(),"OVERDUE",IF(L27-TODAY()&lt;=2,"Due soon","")))</f>
        <v/>
      </c>
      <c r="R27" s="4" t="str">
        <f aca="false">IF(OR(Q27="",Rules!$F$2=""),"",IF(Q27&gt;=Rules!$F$2,"Yes","No"))</f>
        <v/>
      </c>
    </row>
    <row r="28" customFormat="false" ht="15" hidden="false" customHeight="false" outlineLevel="0" collapsed="false">
      <c r="H28" s="3"/>
      <c r="J28" s="3"/>
      <c r="K28" s="4" t="str">
        <f aca="false">IF(I28="","",IFERROR(VLOOKUP(I28,Rules!$A$2:$C$9,2,FALSE()),""))</f>
        <v/>
      </c>
      <c r="L28" s="5" t="str">
        <f aca="false">IF(OR(I28="",J28=""),"",IFERROR(J28+VLOOKUP(I28,Rules!$A$2:$C$9,3,FALSE()),""))</f>
        <v/>
      </c>
      <c r="M28" s="4" t="str">
        <f aca="true">IF(OR(L28="",I28="8 Closed"),"",IF(L28&lt;TODAY(),"OVERDUE",IF(L28-TODAY()&lt;=2,"Due soon","")))</f>
        <v/>
      </c>
      <c r="R28" s="4" t="str">
        <f aca="false">IF(OR(Q28="",Rules!$F$2=""),"",IF(Q28&gt;=Rules!$F$2,"Yes","No"))</f>
        <v/>
      </c>
    </row>
    <row r="29" customFormat="false" ht="15" hidden="false" customHeight="false" outlineLevel="0" collapsed="false">
      <c r="H29" s="3"/>
      <c r="J29" s="3"/>
      <c r="K29" s="4" t="str">
        <f aca="false">IF(I29="","",IFERROR(VLOOKUP(I29,Rules!$A$2:$C$9,2,FALSE()),""))</f>
        <v/>
      </c>
      <c r="L29" s="5" t="str">
        <f aca="false">IF(OR(I29="",J29=""),"",IFERROR(J29+VLOOKUP(I29,Rules!$A$2:$C$9,3,FALSE()),""))</f>
        <v/>
      </c>
      <c r="M29" s="4" t="str">
        <f aca="true">IF(OR(L29="",I29="8 Closed"),"",IF(L29&lt;TODAY(),"OVERDUE",IF(L29-TODAY()&lt;=2,"Due soon","")))</f>
        <v/>
      </c>
      <c r="R29" s="4" t="str">
        <f aca="false">IF(OR(Q29="",Rules!$F$2=""),"",IF(Q29&gt;=Rules!$F$2,"Yes","No"))</f>
        <v/>
      </c>
    </row>
    <row r="30" customFormat="false" ht="15" hidden="false" customHeight="false" outlineLevel="0" collapsed="false">
      <c r="H30" s="3"/>
      <c r="J30" s="3"/>
      <c r="K30" s="4" t="str">
        <f aca="false">IF(I30="","",IFERROR(VLOOKUP(I30,Rules!$A$2:$C$9,2,FALSE()),""))</f>
        <v/>
      </c>
      <c r="L30" s="5" t="str">
        <f aca="false">IF(OR(I30="",J30=""),"",IFERROR(J30+VLOOKUP(I30,Rules!$A$2:$C$9,3,FALSE()),""))</f>
        <v/>
      </c>
      <c r="M30" s="4" t="str">
        <f aca="true">IF(OR(L30="",I30="8 Closed"),"",IF(L30&lt;TODAY(),"OVERDUE",IF(L30-TODAY()&lt;=2,"Due soon","")))</f>
        <v/>
      </c>
      <c r="R30" s="4" t="str">
        <f aca="false">IF(OR(Q30="",Rules!$F$2=""),"",IF(Q30&gt;=Rules!$F$2,"Yes","No"))</f>
        <v/>
      </c>
    </row>
    <row r="31" customFormat="false" ht="15" hidden="false" customHeight="false" outlineLevel="0" collapsed="false">
      <c r="H31" s="3"/>
      <c r="J31" s="3"/>
      <c r="K31" s="4" t="str">
        <f aca="false">IF(I31="","",IFERROR(VLOOKUP(I31,Rules!$A$2:$C$9,2,FALSE()),""))</f>
        <v/>
      </c>
      <c r="L31" s="5" t="str">
        <f aca="false">IF(OR(I31="",J31=""),"",IFERROR(J31+VLOOKUP(I31,Rules!$A$2:$C$9,3,FALSE()),""))</f>
        <v/>
      </c>
      <c r="M31" s="4" t="str">
        <f aca="true">IF(OR(L31="",I31="8 Closed"),"",IF(L31&lt;TODAY(),"OVERDUE",IF(L31-TODAY()&lt;=2,"Due soon","")))</f>
        <v/>
      </c>
      <c r="R31" s="4" t="str">
        <f aca="false">IF(OR(Q31="",Rules!$F$2=""),"",IF(Q31&gt;=Rules!$F$2,"Yes","No"))</f>
        <v/>
      </c>
    </row>
    <row r="32" customFormat="false" ht="15" hidden="false" customHeight="false" outlineLevel="0" collapsed="false">
      <c r="H32" s="3"/>
      <c r="J32" s="3"/>
      <c r="K32" s="4" t="str">
        <f aca="false">IF(I32="","",IFERROR(VLOOKUP(I32,Rules!$A$2:$C$9,2,FALSE()),""))</f>
        <v/>
      </c>
      <c r="L32" s="5" t="str">
        <f aca="false">IF(OR(I32="",J32=""),"",IFERROR(J32+VLOOKUP(I32,Rules!$A$2:$C$9,3,FALSE()),""))</f>
        <v/>
      </c>
      <c r="M32" s="4" t="str">
        <f aca="true">IF(OR(L32="",I32="8 Closed"),"",IF(L32&lt;TODAY(),"OVERDUE",IF(L32-TODAY()&lt;=2,"Due soon","")))</f>
        <v/>
      </c>
      <c r="R32" s="4" t="str">
        <f aca="false">IF(OR(Q32="",Rules!$F$2=""),"",IF(Q32&gt;=Rules!$F$2,"Yes","No"))</f>
        <v/>
      </c>
    </row>
    <row r="33" customFormat="false" ht="15" hidden="false" customHeight="false" outlineLevel="0" collapsed="false">
      <c r="H33" s="3"/>
      <c r="J33" s="3"/>
      <c r="K33" s="4" t="str">
        <f aca="false">IF(I33="","",IFERROR(VLOOKUP(I33,Rules!$A$2:$C$9,2,FALSE()),""))</f>
        <v/>
      </c>
      <c r="L33" s="5" t="str">
        <f aca="false">IF(OR(I33="",J33=""),"",IFERROR(J33+VLOOKUP(I33,Rules!$A$2:$C$9,3,FALSE()),""))</f>
        <v/>
      </c>
      <c r="M33" s="4" t="str">
        <f aca="true">IF(OR(L33="",I33="8 Closed"),"",IF(L33&lt;TODAY(),"OVERDUE",IF(L33-TODAY()&lt;=2,"Due soon","")))</f>
        <v/>
      </c>
      <c r="R33" s="4" t="str">
        <f aca="false">IF(OR(Q33="",Rules!$F$2=""),"",IF(Q33&gt;=Rules!$F$2,"Yes","No"))</f>
        <v/>
      </c>
    </row>
    <row r="34" customFormat="false" ht="15" hidden="false" customHeight="false" outlineLevel="0" collapsed="false">
      <c r="H34" s="3"/>
      <c r="J34" s="3"/>
      <c r="K34" s="4" t="str">
        <f aca="false">IF(I34="","",IFERROR(VLOOKUP(I34,Rules!$A$2:$C$9,2,FALSE()),""))</f>
        <v/>
      </c>
      <c r="L34" s="5" t="str">
        <f aca="false">IF(OR(I34="",J34=""),"",IFERROR(J34+VLOOKUP(I34,Rules!$A$2:$C$9,3,FALSE()),""))</f>
        <v/>
      </c>
      <c r="M34" s="4" t="str">
        <f aca="true">IF(OR(L34="",I34="8 Closed"),"",IF(L34&lt;TODAY(),"OVERDUE",IF(L34-TODAY()&lt;=2,"Due soon","")))</f>
        <v/>
      </c>
      <c r="R34" s="4" t="str">
        <f aca="false">IF(OR(Q34="",Rules!$F$2=""),"",IF(Q34&gt;=Rules!$F$2,"Yes","No"))</f>
        <v/>
      </c>
    </row>
    <row r="35" customFormat="false" ht="15" hidden="false" customHeight="false" outlineLevel="0" collapsed="false">
      <c r="H35" s="3"/>
      <c r="J35" s="3"/>
      <c r="K35" s="4" t="str">
        <f aca="false">IF(I35="","",IFERROR(VLOOKUP(I35,Rules!$A$2:$C$9,2,FALSE()),""))</f>
        <v/>
      </c>
      <c r="L35" s="5" t="str">
        <f aca="false">IF(OR(I35="",J35=""),"",IFERROR(J35+VLOOKUP(I35,Rules!$A$2:$C$9,3,FALSE()),""))</f>
        <v/>
      </c>
      <c r="M35" s="4" t="str">
        <f aca="true">IF(OR(L35="",I35="8 Closed"),"",IF(L35&lt;TODAY(),"OVERDUE",IF(L35-TODAY()&lt;=2,"Due soon","")))</f>
        <v/>
      </c>
      <c r="R35" s="4" t="str">
        <f aca="false">IF(OR(Q35="",Rules!$F$2=""),"",IF(Q35&gt;=Rules!$F$2,"Yes","No"))</f>
        <v/>
      </c>
    </row>
    <row r="36" customFormat="false" ht="15" hidden="false" customHeight="false" outlineLevel="0" collapsed="false">
      <c r="H36" s="3"/>
      <c r="J36" s="3"/>
      <c r="K36" s="4" t="str">
        <f aca="false">IF(I36="","",IFERROR(VLOOKUP(I36,Rules!$A$2:$C$9,2,FALSE()),""))</f>
        <v/>
      </c>
      <c r="L36" s="5" t="str">
        <f aca="false">IF(OR(I36="",J36=""),"",IFERROR(J36+VLOOKUP(I36,Rules!$A$2:$C$9,3,FALSE()),""))</f>
        <v/>
      </c>
      <c r="M36" s="4" t="str">
        <f aca="true">IF(OR(L36="",I36="8 Closed"),"",IF(L36&lt;TODAY(),"OVERDUE",IF(L36-TODAY()&lt;=2,"Due soon","")))</f>
        <v/>
      </c>
      <c r="R36" s="4" t="str">
        <f aca="false">IF(OR(Q36="",Rules!$F$2=""),"",IF(Q36&gt;=Rules!$F$2,"Yes","No"))</f>
        <v/>
      </c>
    </row>
    <row r="37" customFormat="false" ht="15" hidden="false" customHeight="false" outlineLevel="0" collapsed="false">
      <c r="H37" s="3"/>
      <c r="J37" s="3"/>
      <c r="K37" s="4" t="str">
        <f aca="false">IF(I37="","",IFERROR(VLOOKUP(I37,Rules!$A$2:$C$9,2,FALSE()),""))</f>
        <v/>
      </c>
      <c r="L37" s="5" t="str">
        <f aca="false">IF(OR(I37="",J37=""),"",IFERROR(J37+VLOOKUP(I37,Rules!$A$2:$C$9,3,FALSE()),""))</f>
        <v/>
      </c>
      <c r="M37" s="4" t="str">
        <f aca="true">IF(OR(L37="",I37="8 Closed"),"",IF(L37&lt;TODAY(),"OVERDUE",IF(L37-TODAY()&lt;=2,"Due soon","")))</f>
        <v/>
      </c>
      <c r="R37" s="4" t="str">
        <f aca="false">IF(OR(Q37="",Rules!$F$2=""),"",IF(Q37&gt;=Rules!$F$2,"Yes","No"))</f>
        <v/>
      </c>
    </row>
    <row r="38" customFormat="false" ht="15" hidden="false" customHeight="false" outlineLevel="0" collapsed="false">
      <c r="H38" s="3"/>
      <c r="J38" s="3"/>
      <c r="K38" s="4" t="str">
        <f aca="false">IF(I38="","",IFERROR(VLOOKUP(I38,Rules!$A$2:$C$9,2,FALSE()),""))</f>
        <v/>
      </c>
      <c r="L38" s="5" t="str">
        <f aca="false">IF(OR(I38="",J38=""),"",IFERROR(J38+VLOOKUP(I38,Rules!$A$2:$C$9,3,FALSE()),""))</f>
        <v/>
      </c>
      <c r="M38" s="4" t="str">
        <f aca="true">IF(OR(L38="",I38="8 Closed"),"",IF(L38&lt;TODAY(),"OVERDUE",IF(L38-TODAY()&lt;=2,"Due soon","")))</f>
        <v/>
      </c>
      <c r="R38" s="4" t="str">
        <f aca="false">IF(OR(Q38="",Rules!$F$2=""),"",IF(Q38&gt;=Rules!$F$2,"Yes","No"))</f>
        <v/>
      </c>
    </row>
    <row r="39" customFormat="false" ht="15" hidden="false" customHeight="false" outlineLevel="0" collapsed="false">
      <c r="H39" s="3"/>
      <c r="J39" s="3"/>
      <c r="K39" s="4" t="str">
        <f aca="false">IF(I39="","",IFERROR(VLOOKUP(I39,Rules!$A$2:$C$9,2,FALSE()),""))</f>
        <v/>
      </c>
      <c r="L39" s="5" t="str">
        <f aca="false">IF(OR(I39="",J39=""),"",IFERROR(J39+VLOOKUP(I39,Rules!$A$2:$C$9,3,FALSE()),""))</f>
        <v/>
      </c>
      <c r="M39" s="4" t="str">
        <f aca="true">IF(OR(L39="",I39="8 Closed"),"",IF(L39&lt;TODAY(),"OVERDUE",IF(L39-TODAY()&lt;=2,"Due soon","")))</f>
        <v/>
      </c>
      <c r="R39" s="4" t="str">
        <f aca="false">IF(OR(Q39="",Rules!$F$2=""),"",IF(Q39&gt;=Rules!$F$2,"Yes","No"))</f>
        <v/>
      </c>
    </row>
    <row r="40" customFormat="false" ht="15" hidden="false" customHeight="false" outlineLevel="0" collapsed="false">
      <c r="H40" s="3"/>
      <c r="J40" s="3"/>
      <c r="K40" s="4" t="str">
        <f aca="false">IF(I40="","",IFERROR(VLOOKUP(I40,Rules!$A$2:$C$9,2,FALSE()),""))</f>
        <v/>
      </c>
      <c r="L40" s="5" t="str">
        <f aca="false">IF(OR(I40="",J40=""),"",IFERROR(J40+VLOOKUP(I40,Rules!$A$2:$C$9,3,FALSE()),""))</f>
        <v/>
      </c>
      <c r="M40" s="4" t="str">
        <f aca="true">IF(OR(L40="",I40="8 Closed"),"",IF(L40&lt;TODAY(),"OVERDUE",IF(L40-TODAY()&lt;=2,"Due soon","")))</f>
        <v/>
      </c>
      <c r="R40" s="4" t="str">
        <f aca="false">IF(OR(Q40="",Rules!$F$2=""),"",IF(Q40&gt;=Rules!$F$2,"Yes","No"))</f>
        <v/>
      </c>
    </row>
    <row r="41" customFormat="false" ht="15" hidden="false" customHeight="false" outlineLevel="0" collapsed="false">
      <c r="H41" s="3"/>
      <c r="J41" s="3"/>
      <c r="K41" s="4" t="str">
        <f aca="false">IF(I41="","",IFERROR(VLOOKUP(I41,Rules!$A$2:$C$9,2,FALSE()),""))</f>
        <v/>
      </c>
      <c r="L41" s="5" t="str">
        <f aca="false">IF(OR(I41="",J41=""),"",IFERROR(J41+VLOOKUP(I41,Rules!$A$2:$C$9,3,FALSE()),""))</f>
        <v/>
      </c>
      <c r="M41" s="4" t="str">
        <f aca="true">IF(OR(L41="",I41="8 Closed"),"",IF(L41&lt;TODAY(),"OVERDUE",IF(L41-TODAY()&lt;=2,"Due soon","")))</f>
        <v/>
      </c>
      <c r="R41" s="4" t="str">
        <f aca="false">IF(OR(Q41="",Rules!$F$2=""),"",IF(Q41&gt;=Rules!$F$2,"Yes","No"))</f>
        <v/>
      </c>
    </row>
    <row r="42" customFormat="false" ht="15" hidden="false" customHeight="false" outlineLevel="0" collapsed="false">
      <c r="H42" s="3"/>
      <c r="J42" s="3"/>
      <c r="K42" s="4" t="str">
        <f aca="false">IF(I42="","",IFERROR(VLOOKUP(I42,Rules!$A$2:$C$9,2,FALSE()),""))</f>
        <v/>
      </c>
      <c r="L42" s="5" t="str">
        <f aca="false">IF(OR(I42="",J42=""),"",IFERROR(J42+VLOOKUP(I42,Rules!$A$2:$C$9,3,FALSE()),""))</f>
        <v/>
      </c>
      <c r="M42" s="4" t="str">
        <f aca="true">IF(OR(L42="",I42="8 Closed"),"",IF(L42&lt;TODAY(),"OVERDUE",IF(L42-TODAY()&lt;=2,"Due soon","")))</f>
        <v/>
      </c>
      <c r="R42" s="4" t="str">
        <f aca="false">IF(OR(Q42="",Rules!$F$2=""),"",IF(Q42&gt;=Rules!$F$2,"Yes","No"))</f>
        <v/>
      </c>
    </row>
    <row r="43" customFormat="false" ht="15" hidden="false" customHeight="false" outlineLevel="0" collapsed="false">
      <c r="H43" s="3"/>
      <c r="J43" s="3"/>
      <c r="K43" s="4" t="str">
        <f aca="false">IF(I43="","",IFERROR(VLOOKUP(I43,Rules!$A$2:$C$9,2,FALSE()),""))</f>
        <v/>
      </c>
      <c r="L43" s="5" t="str">
        <f aca="false">IF(OR(I43="",J43=""),"",IFERROR(J43+VLOOKUP(I43,Rules!$A$2:$C$9,3,FALSE()),""))</f>
        <v/>
      </c>
      <c r="M43" s="4" t="str">
        <f aca="true">IF(OR(L43="",I43="8 Closed"),"",IF(L43&lt;TODAY(),"OVERDUE",IF(L43-TODAY()&lt;=2,"Due soon","")))</f>
        <v/>
      </c>
      <c r="R43" s="4" t="str">
        <f aca="false">IF(OR(Q43="",Rules!$F$2=""),"",IF(Q43&gt;=Rules!$F$2,"Yes","No"))</f>
        <v/>
      </c>
    </row>
    <row r="44" customFormat="false" ht="15" hidden="false" customHeight="false" outlineLevel="0" collapsed="false">
      <c r="H44" s="3"/>
      <c r="J44" s="3"/>
      <c r="K44" s="4" t="str">
        <f aca="false">IF(I44="","",IFERROR(VLOOKUP(I44,Rules!$A$2:$C$9,2,FALSE()),""))</f>
        <v/>
      </c>
      <c r="L44" s="5" t="str">
        <f aca="false">IF(OR(I44="",J44=""),"",IFERROR(J44+VLOOKUP(I44,Rules!$A$2:$C$9,3,FALSE()),""))</f>
        <v/>
      </c>
      <c r="M44" s="4" t="str">
        <f aca="true">IF(OR(L44="",I44="8 Closed"),"",IF(L44&lt;TODAY(),"OVERDUE",IF(L44-TODAY()&lt;=2,"Due soon","")))</f>
        <v/>
      </c>
      <c r="R44" s="4" t="str">
        <f aca="false">IF(OR(Q44="",Rules!$F$2=""),"",IF(Q44&gt;=Rules!$F$2,"Yes","No"))</f>
        <v/>
      </c>
    </row>
    <row r="45" customFormat="false" ht="15" hidden="false" customHeight="false" outlineLevel="0" collapsed="false">
      <c r="H45" s="3"/>
      <c r="J45" s="3"/>
      <c r="K45" s="4" t="str">
        <f aca="false">IF(I45="","",IFERROR(VLOOKUP(I45,Rules!$A$2:$C$9,2,FALSE()),""))</f>
        <v/>
      </c>
      <c r="L45" s="5" t="str">
        <f aca="false">IF(OR(I45="",J45=""),"",IFERROR(J45+VLOOKUP(I45,Rules!$A$2:$C$9,3,FALSE()),""))</f>
        <v/>
      </c>
      <c r="M45" s="4" t="str">
        <f aca="true">IF(OR(L45="",I45="8 Closed"),"",IF(L45&lt;TODAY(),"OVERDUE",IF(L45-TODAY()&lt;=2,"Due soon","")))</f>
        <v/>
      </c>
      <c r="R45" s="4" t="str">
        <f aca="false">IF(OR(Q45="",Rules!$F$2=""),"",IF(Q45&gt;=Rules!$F$2,"Yes","No"))</f>
        <v/>
      </c>
    </row>
    <row r="46" customFormat="false" ht="15" hidden="false" customHeight="false" outlineLevel="0" collapsed="false">
      <c r="H46" s="3"/>
      <c r="J46" s="3"/>
      <c r="K46" s="4" t="str">
        <f aca="false">IF(I46="","",IFERROR(VLOOKUP(I46,Rules!$A$2:$C$9,2,FALSE()),""))</f>
        <v/>
      </c>
      <c r="L46" s="5" t="str">
        <f aca="false">IF(OR(I46="",J46=""),"",IFERROR(J46+VLOOKUP(I46,Rules!$A$2:$C$9,3,FALSE()),""))</f>
        <v/>
      </c>
      <c r="M46" s="4" t="str">
        <f aca="true">IF(OR(L46="",I46="8 Closed"),"",IF(L46&lt;TODAY(),"OVERDUE",IF(L46-TODAY()&lt;=2,"Due soon","")))</f>
        <v/>
      </c>
      <c r="R46" s="4" t="str">
        <f aca="false">IF(OR(Q46="",Rules!$F$2=""),"",IF(Q46&gt;=Rules!$F$2,"Yes","No"))</f>
        <v/>
      </c>
    </row>
    <row r="47" customFormat="false" ht="15" hidden="false" customHeight="false" outlineLevel="0" collapsed="false">
      <c r="H47" s="3"/>
      <c r="J47" s="3"/>
      <c r="K47" s="4" t="str">
        <f aca="false">IF(I47="","",IFERROR(VLOOKUP(I47,Rules!$A$2:$C$9,2,FALSE()),""))</f>
        <v/>
      </c>
      <c r="L47" s="5" t="str">
        <f aca="false">IF(OR(I47="",J47=""),"",IFERROR(J47+VLOOKUP(I47,Rules!$A$2:$C$9,3,FALSE()),""))</f>
        <v/>
      </c>
      <c r="M47" s="4" t="str">
        <f aca="true">IF(OR(L47="",I47="8 Closed"),"",IF(L47&lt;TODAY(),"OVERDUE",IF(L47-TODAY()&lt;=2,"Due soon","")))</f>
        <v/>
      </c>
      <c r="R47" s="4" t="str">
        <f aca="false">IF(OR(Q47="",Rules!$F$2=""),"",IF(Q47&gt;=Rules!$F$2,"Yes","No"))</f>
        <v/>
      </c>
    </row>
    <row r="48" customFormat="false" ht="15" hidden="false" customHeight="false" outlineLevel="0" collapsed="false">
      <c r="H48" s="3"/>
      <c r="J48" s="3"/>
      <c r="K48" s="4" t="str">
        <f aca="false">IF(I48="","",IFERROR(VLOOKUP(I48,Rules!$A$2:$C$9,2,FALSE()),""))</f>
        <v/>
      </c>
      <c r="L48" s="5" t="str">
        <f aca="false">IF(OR(I48="",J48=""),"",IFERROR(J48+VLOOKUP(I48,Rules!$A$2:$C$9,3,FALSE()),""))</f>
        <v/>
      </c>
      <c r="M48" s="4" t="str">
        <f aca="true">IF(OR(L48="",I48="8 Closed"),"",IF(L48&lt;TODAY(),"OVERDUE",IF(L48-TODAY()&lt;=2,"Due soon","")))</f>
        <v/>
      </c>
      <c r="R48" s="4" t="str">
        <f aca="false">IF(OR(Q48="",Rules!$F$2=""),"",IF(Q48&gt;=Rules!$F$2,"Yes","No"))</f>
        <v/>
      </c>
    </row>
    <row r="49" customFormat="false" ht="15" hidden="false" customHeight="false" outlineLevel="0" collapsed="false">
      <c r="H49" s="3"/>
      <c r="J49" s="3"/>
      <c r="K49" s="4" t="str">
        <f aca="false">IF(I49="","",IFERROR(VLOOKUP(I49,Rules!$A$2:$C$9,2,FALSE()),""))</f>
        <v/>
      </c>
      <c r="L49" s="5" t="str">
        <f aca="false">IF(OR(I49="",J49=""),"",IFERROR(J49+VLOOKUP(I49,Rules!$A$2:$C$9,3,FALSE()),""))</f>
        <v/>
      </c>
      <c r="M49" s="4" t="str">
        <f aca="true">IF(OR(L49="",I49="8 Closed"),"",IF(L49&lt;TODAY(),"OVERDUE",IF(L49-TODAY()&lt;=2,"Due soon","")))</f>
        <v/>
      </c>
      <c r="R49" s="4" t="str">
        <f aca="false">IF(OR(Q49="",Rules!$F$2=""),"",IF(Q49&gt;=Rules!$F$2,"Yes","No"))</f>
        <v/>
      </c>
    </row>
    <row r="50" customFormat="false" ht="15" hidden="false" customHeight="false" outlineLevel="0" collapsed="false">
      <c r="H50" s="3"/>
      <c r="J50" s="3"/>
      <c r="K50" s="4" t="str">
        <f aca="false">IF(I50="","",IFERROR(VLOOKUP(I50,Rules!$A$2:$C$9,2,FALSE()),""))</f>
        <v/>
      </c>
      <c r="L50" s="5" t="str">
        <f aca="false">IF(OR(I50="",J50=""),"",IFERROR(J50+VLOOKUP(I50,Rules!$A$2:$C$9,3,FALSE()),""))</f>
        <v/>
      </c>
      <c r="M50" s="4" t="str">
        <f aca="true">IF(OR(L50="",I50="8 Closed"),"",IF(L50&lt;TODAY(),"OVERDUE",IF(L50-TODAY()&lt;=2,"Due soon","")))</f>
        <v/>
      </c>
      <c r="R50" s="4" t="str">
        <f aca="false">IF(OR(Q50="",Rules!$F$2=""),"",IF(Q50&gt;=Rules!$F$2,"Yes","No"))</f>
        <v/>
      </c>
    </row>
    <row r="51" customFormat="false" ht="15" hidden="false" customHeight="false" outlineLevel="0" collapsed="false">
      <c r="H51" s="3"/>
      <c r="J51" s="3"/>
      <c r="K51" s="4" t="str">
        <f aca="false">IF(I51="","",IFERROR(VLOOKUP(I51,Rules!$A$2:$C$9,2,FALSE()),""))</f>
        <v/>
      </c>
      <c r="L51" s="5" t="str">
        <f aca="false">IF(OR(I51="",J51=""),"",IFERROR(J51+VLOOKUP(I51,Rules!$A$2:$C$9,3,FALSE()),""))</f>
        <v/>
      </c>
      <c r="M51" s="4" t="str">
        <f aca="true">IF(OR(L51="",I51="8 Closed"),"",IF(L51&lt;TODAY(),"OVERDUE",IF(L51-TODAY()&lt;=2,"Due soon","")))</f>
        <v/>
      </c>
      <c r="R51" s="4" t="str">
        <f aca="false">IF(OR(Q51="",Rules!$F$2=""),"",IF(Q51&gt;=Rules!$F$2,"Yes","No"))</f>
        <v/>
      </c>
    </row>
    <row r="52" customFormat="false" ht="15" hidden="false" customHeight="false" outlineLevel="0" collapsed="false">
      <c r="H52" s="3"/>
      <c r="J52" s="3"/>
      <c r="K52" s="4" t="str">
        <f aca="false">IF(I52="","",IFERROR(VLOOKUP(I52,Rules!$A$2:$C$9,2,FALSE()),""))</f>
        <v/>
      </c>
      <c r="L52" s="5" t="str">
        <f aca="false">IF(OR(I52="",J52=""),"",IFERROR(J52+VLOOKUP(I52,Rules!$A$2:$C$9,3,FALSE()),""))</f>
        <v/>
      </c>
      <c r="M52" s="4" t="str">
        <f aca="true">IF(OR(L52="",I52="8 Closed"),"",IF(L52&lt;TODAY(),"OVERDUE",IF(L52-TODAY()&lt;=2,"Due soon","")))</f>
        <v/>
      </c>
      <c r="R52" s="4" t="str">
        <f aca="false">IF(OR(Q52="",Rules!$F$2=""),"",IF(Q52&gt;=Rules!$F$2,"Yes","No"))</f>
        <v/>
      </c>
    </row>
    <row r="53" customFormat="false" ht="15" hidden="false" customHeight="false" outlineLevel="0" collapsed="false">
      <c r="H53" s="3"/>
      <c r="J53" s="3"/>
      <c r="K53" s="4" t="str">
        <f aca="false">IF(I53="","",IFERROR(VLOOKUP(I53,Rules!$A$2:$C$9,2,FALSE()),""))</f>
        <v/>
      </c>
      <c r="L53" s="5" t="str">
        <f aca="false">IF(OR(I53="",J53=""),"",IFERROR(J53+VLOOKUP(I53,Rules!$A$2:$C$9,3,FALSE()),""))</f>
        <v/>
      </c>
      <c r="M53" s="4" t="str">
        <f aca="true">IF(OR(L53="",I53="8 Closed"),"",IF(L53&lt;TODAY(),"OVERDUE",IF(L53-TODAY()&lt;=2,"Due soon","")))</f>
        <v/>
      </c>
      <c r="R53" s="4" t="str">
        <f aca="false">IF(OR(Q53="",Rules!$F$2=""),"",IF(Q53&gt;=Rules!$F$2,"Yes","No"))</f>
        <v/>
      </c>
    </row>
    <row r="54" customFormat="false" ht="15" hidden="false" customHeight="false" outlineLevel="0" collapsed="false">
      <c r="H54" s="3"/>
      <c r="J54" s="3"/>
      <c r="K54" s="4" t="str">
        <f aca="false">IF(I54="","",IFERROR(VLOOKUP(I54,Rules!$A$2:$C$9,2,FALSE()),""))</f>
        <v/>
      </c>
      <c r="L54" s="5" t="str">
        <f aca="false">IF(OR(I54="",J54=""),"",IFERROR(J54+VLOOKUP(I54,Rules!$A$2:$C$9,3,FALSE()),""))</f>
        <v/>
      </c>
      <c r="M54" s="4" t="str">
        <f aca="true">IF(OR(L54="",I54="8 Closed"),"",IF(L54&lt;TODAY(),"OVERDUE",IF(L54-TODAY()&lt;=2,"Due soon","")))</f>
        <v/>
      </c>
      <c r="R54" s="4" t="str">
        <f aca="false">IF(OR(Q54="",Rules!$F$2=""),"",IF(Q54&gt;=Rules!$F$2,"Yes","No"))</f>
        <v/>
      </c>
    </row>
    <row r="55" customFormat="false" ht="15" hidden="false" customHeight="false" outlineLevel="0" collapsed="false">
      <c r="H55" s="3"/>
      <c r="J55" s="3"/>
      <c r="K55" s="4" t="str">
        <f aca="false">IF(I55="","",IFERROR(VLOOKUP(I55,Rules!$A$2:$C$9,2,FALSE()),""))</f>
        <v/>
      </c>
      <c r="L55" s="5" t="str">
        <f aca="false">IF(OR(I55="",J55=""),"",IFERROR(J55+VLOOKUP(I55,Rules!$A$2:$C$9,3,FALSE()),""))</f>
        <v/>
      </c>
      <c r="M55" s="4" t="str">
        <f aca="true">IF(OR(L55="",I55="8 Closed"),"",IF(L55&lt;TODAY(),"OVERDUE",IF(L55-TODAY()&lt;=2,"Due soon","")))</f>
        <v/>
      </c>
      <c r="R55" s="4" t="str">
        <f aca="false">IF(OR(Q55="",Rules!$F$2=""),"",IF(Q55&gt;=Rules!$F$2,"Yes","No"))</f>
        <v/>
      </c>
    </row>
    <row r="56" customFormat="false" ht="15" hidden="false" customHeight="false" outlineLevel="0" collapsed="false">
      <c r="H56" s="3"/>
      <c r="J56" s="3"/>
      <c r="K56" s="4" t="str">
        <f aca="false">IF(I56="","",IFERROR(VLOOKUP(I56,Rules!$A$2:$C$9,2,FALSE()),""))</f>
        <v/>
      </c>
      <c r="L56" s="5" t="str">
        <f aca="false">IF(OR(I56="",J56=""),"",IFERROR(J56+VLOOKUP(I56,Rules!$A$2:$C$9,3,FALSE()),""))</f>
        <v/>
      </c>
      <c r="M56" s="4" t="str">
        <f aca="true">IF(OR(L56="",I56="8 Closed"),"",IF(L56&lt;TODAY(),"OVERDUE",IF(L56-TODAY()&lt;=2,"Due soon","")))</f>
        <v/>
      </c>
      <c r="R56" s="4" t="str">
        <f aca="false">IF(OR(Q56="",Rules!$F$2=""),"",IF(Q56&gt;=Rules!$F$2,"Yes","No"))</f>
        <v/>
      </c>
    </row>
    <row r="57" customFormat="false" ht="15" hidden="false" customHeight="false" outlineLevel="0" collapsed="false">
      <c r="H57" s="3"/>
      <c r="J57" s="3"/>
      <c r="K57" s="4" t="str">
        <f aca="false">IF(I57="","",IFERROR(VLOOKUP(I57,Rules!$A$2:$C$9,2,FALSE()),""))</f>
        <v/>
      </c>
      <c r="L57" s="5" t="str">
        <f aca="false">IF(OR(I57="",J57=""),"",IFERROR(J57+VLOOKUP(I57,Rules!$A$2:$C$9,3,FALSE()),""))</f>
        <v/>
      </c>
      <c r="M57" s="4" t="str">
        <f aca="true">IF(OR(L57="",I57="8 Closed"),"",IF(L57&lt;TODAY(),"OVERDUE",IF(L57-TODAY()&lt;=2,"Due soon","")))</f>
        <v/>
      </c>
      <c r="R57" s="4" t="str">
        <f aca="false">IF(OR(Q57="",Rules!$F$2=""),"",IF(Q57&gt;=Rules!$F$2,"Yes","No"))</f>
        <v/>
      </c>
    </row>
    <row r="58" customFormat="false" ht="15" hidden="false" customHeight="false" outlineLevel="0" collapsed="false">
      <c r="H58" s="3"/>
      <c r="J58" s="3"/>
      <c r="K58" s="4" t="str">
        <f aca="false">IF(I58="","",IFERROR(VLOOKUP(I58,Rules!$A$2:$C$9,2,FALSE()),""))</f>
        <v/>
      </c>
      <c r="L58" s="5" t="str">
        <f aca="false">IF(OR(I58="",J58=""),"",IFERROR(J58+VLOOKUP(I58,Rules!$A$2:$C$9,3,FALSE()),""))</f>
        <v/>
      </c>
      <c r="M58" s="4" t="str">
        <f aca="true">IF(OR(L58="",I58="8 Closed"),"",IF(L58&lt;TODAY(),"OVERDUE",IF(L58-TODAY()&lt;=2,"Due soon","")))</f>
        <v/>
      </c>
      <c r="R58" s="4" t="str">
        <f aca="false">IF(OR(Q58="",Rules!$F$2=""),"",IF(Q58&gt;=Rules!$F$2,"Yes","No"))</f>
        <v/>
      </c>
    </row>
    <row r="59" customFormat="false" ht="15" hidden="false" customHeight="false" outlineLevel="0" collapsed="false">
      <c r="H59" s="3"/>
      <c r="J59" s="3"/>
      <c r="K59" s="4" t="str">
        <f aca="false">IF(I59="","",IFERROR(VLOOKUP(I59,Rules!$A$2:$C$9,2,FALSE()),""))</f>
        <v/>
      </c>
      <c r="L59" s="5" t="str">
        <f aca="false">IF(OR(I59="",J59=""),"",IFERROR(J59+VLOOKUP(I59,Rules!$A$2:$C$9,3,FALSE()),""))</f>
        <v/>
      </c>
      <c r="M59" s="4" t="str">
        <f aca="true">IF(OR(L59="",I59="8 Closed"),"",IF(L59&lt;TODAY(),"OVERDUE",IF(L59-TODAY()&lt;=2,"Due soon","")))</f>
        <v/>
      </c>
      <c r="R59" s="4" t="str">
        <f aca="false">IF(OR(Q59="",Rules!$F$2=""),"",IF(Q59&gt;=Rules!$F$2,"Yes","No"))</f>
        <v/>
      </c>
    </row>
    <row r="60" customFormat="false" ht="15" hidden="false" customHeight="false" outlineLevel="0" collapsed="false">
      <c r="H60" s="3"/>
      <c r="J60" s="3"/>
      <c r="K60" s="4" t="str">
        <f aca="false">IF(I60="","",IFERROR(VLOOKUP(I60,Rules!$A$2:$C$9,2,FALSE()),""))</f>
        <v/>
      </c>
      <c r="L60" s="5" t="str">
        <f aca="false">IF(OR(I60="",J60=""),"",IFERROR(J60+VLOOKUP(I60,Rules!$A$2:$C$9,3,FALSE()),""))</f>
        <v/>
      </c>
      <c r="M60" s="4" t="str">
        <f aca="true">IF(OR(L60="",I60="8 Closed"),"",IF(L60&lt;TODAY(),"OVERDUE",IF(L60-TODAY()&lt;=2,"Due soon","")))</f>
        <v/>
      </c>
      <c r="R60" s="4" t="str">
        <f aca="false">IF(OR(Q60="",Rules!$F$2=""),"",IF(Q60&gt;=Rules!$F$2,"Yes","No"))</f>
        <v/>
      </c>
    </row>
    <row r="61" customFormat="false" ht="15" hidden="false" customHeight="false" outlineLevel="0" collapsed="false">
      <c r="H61" s="3"/>
      <c r="J61" s="3"/>
      <c r="K61" s="4" t="str">
        <f aca="false">IF(I61="","",IFERROR(VLOOKUP(I61,Rules!$A$2:$C$9,2,FALSE()),""))</f>
        <v/>
      </c>
      <c r="L61" s="5" t="str">
        <f aca="false">IF(OR(I61="",J61=""),"",IFERROR(J61+VLOOKUP(I61,Rules!$A$2:$C$9,3,FALSE()),""))</f>
        <v/>
      </c>
      <c r="M61" s="4" t="str">
        <f aca="true">IF(OR(L61="",I61="8 Closed"),"",IF(L61&lt;TODAY(),"OVERDUE",IF(L61-TODAY()&lt;=2,"Due soon","")))</f>
        <v/>
      </c>
      <c r="R61" s="4" t="str">
        <f aca="false">IF(OR(Q61="",Rules!$F$2=""),"",IF(Q61&gt;=Rules!$F$2,"Yes","No"))</f>
        <v/>
      </c>
    </row>
    <row r="62" customFormat="false" ht="15" hidden="false" customHeight="false" outlineLevel="0" collapsed="false">
      <c r="H62" s="3"/>
      <c r="J62" s="3"/>
      <c r="K62" s="4" t="str">
        <f aca="false">IF(I62="","",IFERROR(VLOOKUP(I62,Rules!$A$2:$C$9,2,FALSE()),""))</f>
        <v/>
      </c>
      <c r="L62" s="5" t="str">
        <f aca="false">IF(OR(I62="",J62=""),"",IFERROR(J62+VLOOKUP(I62,Rules!$A$2:$C$9,3,FALSE()),""))</f>
        <v/>
      </c>
      <c r="M62" s="4" t="str">
        <f aca="true">IF(OR(L62="",I62="8 Closed"),"",IF(L62&lt;TODAY(),"OVERDUE",IF(L62-TODAY()&lt;=2,"Due soon","")))</f>
        <v/>
      </c>
      <c r="R62" s="4" t="str">
        <f aca="false">IF(OR(Q62="",Rules!$F$2=""),"",IF(Q62&gt;=Rules!$F$2,"Yes","No"))</f>
        <v/>
      </c>
    </row>
    <row r="63" customFormat="false" ht="15" hidden="false" customHeight="false" outlineLevel="0" collapsed="false">
      <c r="H63" s="3"/>
      <c r="J63" s="3"/>
      <c r="K63" s="4" t="str">
        <f aca="false">IF(I63="","",IFERROR(VLOOKUP(I63,Rules!$A$2:$C$9,2,FALSE()),""))</f>
        <v/>
      </c>
      <c r="L63" s="5" t="str">
        <f aca="false">IF(OR(I63="",J63=""),"",IFERROR(J63+VLOOKUP(I63,Rules!$A$2:$C$9,3,FALSE()),""))</f>
        <v/>
      </c>
      <c r="M63" s="4" t="str">
        <f aca="true">IF(OR(L63="",I63="8 Closed"),"",IF(L63&lt;TODAY(),"OVERDUE",IF(L63-TODAY()&lt;=2,"Due soon","")))</f>
        <v/>
      </c>
      <c r="R63" s="4" t="str">
        <f aca="false">IF(OR(Q63="",Rules!$F$2=""),"",IF(Q63&gt;=Rules!$F$2,"Yes","No"))</f>
        <v/>
      </c>
    </row>
    <row r="64" customFormat="false" ht="15" hidden="false" customHeight="false" outlineLevel="0" collapsed="false">
      <c r="H64" s="3"/>
      <c r="J64" s="3"/>
      <c r="K64" s="4" t="str">
        <f aca="false">IF(I64="","",IFERROR(VLOOKUP(I64,Rules!$A$2:$C$9,2,FALSE()),""))</f>
        <v/>
      </c>
      <c r="L64" s="5" t="str">
        <f aca="false">IF(OR(I64="",J64=""),"",IFERROR(J64+VLOOKUP(I64,Rules!$A$2:$C$9,3,FALSE()),""))</f>
        <v/>
      </c>
      <c r="M64" s="4" t="str">
        <f aca="true">IF(OR(L64="",I64="8 Closed"),"",IF(L64&lt;TODAY(),"OVERDUE",IF(L64-TODAY()&lt;=2,"Due soon","")))</f>
        <v/>
      </c>
      <c r="R64" s="4" t="str">
        <f aca="false">IF(OR(Q64="",Rules!$F$2=""),"",IF(Q64&gt;=Rules!$F$2,"Yes","No"))</f>
        <v/>
      </c>
    </row>
    <row r="65" customFormat="false" ht="15" hidden="false" customHeight="false" outlineLevel="0" collapsed="false">
      <c r="H65" s="3"/>
      <c r="J65" s="3"/>
      <c r="K65" s="4" t="str">
        <f aca="false">IF(I65="","",IFERROR(VLOOKUP(I65,Rules!$A$2:$C$9,2,FALSE()),""))</f>
        <v/>
      </c>
      <c r="L65" s="5" t="str">
        <f aca="false">IF(OR(I65="",J65=""),"",IFERROR(J65+VLOOKUP(I65,Rules!$A$2:$C$9,3,FALSE()),""))</f>
        <v/>
      </c>
      <c r="M65" s="4" t="str">
        <f aca="true">IF(OR(L65="",I65="8 Closed"),"",IF(L65&lt;TODAY(),"OVERDUE",IF(L65-TODAY()&lt;=2,"Due soon","")))</f>
        <v/>
      </c>
      <c r="R65" s="4" t="str">
        <f aca="false">IF(OR(Q65="",Rules!$F$2=""),"",IF(Q65&gt;=Rules!$F$2,"Yes","No"))</f>
        <v/>
      </c>
    </row>
    <row r="66" customFormat="false" ht="15" hidden="false" customHeight="false" outlineLevel="0" collapsed="false">
      <c r="H66" s="3"/>
      <c r="J66" s="3"/>
      <c r="K66" s="4" t="str">
        <f aca="false">IF(I66="","",IFERROR(VLOOKUP(I66,Rules!$A$2:$C$9,2,FALSE()),""))</f>
        <v/>
      </c>
      <c r="L66" s="5" t="str">
        <f aca="false">IF(OR(I66="",J66=""),"",IFERROR(J66+VLOOKUP(I66,Rules!$A$2:$C$9,3,FALSE()),""))</f>
        <v/>
      </c>
      <c r="M66" s="4" t="str">
        <f aca="true">IF(OR(L66="",I66="8 Closed"),"",IF(L66&lt;TODAY(),"OVERDUE",IF(L66-TODAY()&lt;=2,"Due soon","")))</f>
        <v/>
      </c>
      <c r="R66" s="4" t="str">
        <f aca="false">IF(OR(Q66="",Rules!$F$2=""),"",IF(Q66&gt;=Rules!$F$2,"Yes","No"))</f>
        <v/>
      </c>
    </row>
    <row r="67" customFormat="false" ht="15" hidden="false" customHeight="false" outlineLevel="0" collapsed="false">
      <c r="H67" s="3"/>
      <c r="J67" s="3"/>
      <c r="K67" s="4" t="str">
        <f aca="false">IF(I67="","",IFERROR(VLOOKUP(I67,Rules!$A$2:$C$9,2,FALSE()),""))</f>
        <v/>
      </c>
      <c r="L67" s="5" t="str">
        <f aca="false">IF(OR(I67="",J67=""),"",IFERROR(J67+VLOOKUP(I67,Rules!$A$2:$C$9,3,FALSE()),""))</f>
        <v/>
      </c>
      <c r="M67" s="4" t="str">
        <f aca="true">IF(OR(L67="",I67="8 Closed"),"",IF(L67&lt;TODAY(),"OVERDUE",IF(L67-TODAY()&lt;=2,"Due soon","")))</f>
        <v/>
      </c>
      <c r="R67" s="4" t="str">
        <f aca="false">IF(OR(Q67="",Rules!$F$2=""),"",IF(Q67&gt;=Rules!$F$2,"Yes","No"))</f>
        <v/>
      </c>
    </row>
    <row r="68" customFormat="false" ht="15" hidden="false" customHeight="false" outlineLevel="0" collapsed="false">
      <c r="H68" s="3"/>
      <c r="J68" s="3"/>
      <c r="K68" s="4" t="str">
        <f aca="false">IF(I68="","",IFERROR(VLOOKUP(I68,Rules!$A$2:$C$9,2,FALSE()),""))</f>
        <v/>
      </c>
      <c r="L68" s="5" t="str">
        <f aca="false">IF(OR(I68="",J68=""),"",IFERROR(J68+VLOOKUP(I68,Rules!$A$2:$C$9,3,FALSE()),""))</f>
        <v/>
      </c>
      <c r="M68" s="4" t="str">
        <f aca="true">IF(OR(L68="",I68="8 Closed"),"",IF(L68&lt;TODAY(),"OVERDUE",IF(L68-TODAY()&lt;=2,"Due soon","")))</f>
        <v/>
      </c>
      <c r="R68" s="4" t="str">
        <f aca="false">IF(OR(Q68="",Rules!$F$2=""),"",IF(Q68&gt;=Rules!$F$2,"Yes","No"))</f>
        <v/>
      </c>
    </row>
    <row r="69" customFormat="false" ht="15" hidden="false" customHeight="false" outlineLevel="0" collapsed="false">
      <c r="H69" s="3"/>
      <c r="J69" s="3"/>
      <c r="K69" s="4" t="str">
        <f aca="false">IF(I69="","",IFERROR(VLOOKUP(I69,Rules!$A$2:$C$9,2,FALSE()),""))</f>
        <v/>
      </c>
      <c r="L69" s="5" t="str">
        <f aca="false">IF(OR(I69="",J69=""),"",IFERROR(J69+VLOOKUP(I69,Rules!$A$2:$C$9,3,FALSE()),""))</f>
        <v/>
      </c>
      <c r="M69" s="4" t="str">
        <f aca="true">IF(OR(L69="",I69="8 Closed"),"",IF(L69&lt;TODAY(),"OVERDUE",IF(L69-TODAY()&lt;=2,"Due soon","")))</f>
        <v/>
      </c>
      <c r="R69" s="4" t="str">
        <f aca="false">IF(OR(Q69="",Rules!$F$2=""),"",IF(Q69&gt;=Rules!$F$2,"Yes","No"))</f>
        <v/>
      </c>
    </row>
    <row r="70" customFormat="false" ht="15" hidden="false" customHeight="false" outlineLevel="0" collapsed="false">
      <c r="H70" s="3"/>
      <c r="J70" s="3"/>
      <c r="K70" s="4" t="str">
        <f aca="false">IF(I70="","",IFERROR(VLOOKUP(I70,Rules!$A$2:$C$9,2,FALSE()),""))</f>
        <v/>
      </c>
      <c r="L70" s="5" t="str">
        <f aca="false">IF(OR(I70="",J70=""),"",IFERROR(J70+VLOOKUP(I70,Rules!$A$2:$C$9,3,FALSE()),""))</f>
        <v/>
      </c>
      <c r="M70" s="4" t="str">
        <f aca="true">IF(OR(L70="",I70="8 Closed"),"",IF(L70&lt;TODAY(),"OVERDUE",IF(L70-TODAY()&lt;=2,"Due soon","")))</f>
        <v/>
      </c>
      <c r="R70" s="4" t="str">
        <f aca="false">IF(OR(Q70="",Rules!$F$2=""),"",IF(Q70&gt;=Rules!$F$2,"Yes","No"))</f>
        <v/>
      </c>
    </row>
    <row r="71" customFormat="false" ht="15" hidden="false" customHeight="false" outlineLevel="0" collapsed="false">
      <c r="H71" s="3"/>
      <c r="J71" s="3"/>
      <c r="K71" s="4" t="str">
        <f aca="false">IF(I71="","",IFERROR(VLOOKUP(I71,Rules!$A$2:$C$9,2,FALSE()),""))</f>
        <v/>
      </c>
      <c r="L71" s="5" t="str">
        <f aca="false">IF(OR(I71="",J71=""),"",IFERROR(J71+VLOOKUP(I71,Rules!$A$2:$C$9,3,FALSE()),""))</f>
        <v/>
      </c>
      <c r="M71" s="4" t="str">
        <f aca="true">IF(OR(L71="",I71="8 Closed"),"",IF(L71&lt;TODAY(),"OVERDUE",IF(L71-TODAY()&lt;=2,"Due soon","")))</f>
        <v/>
      </c>
      <c r="R71" s="4" t="str">
        <f aca="false">IF(OR(Q71="",Rules!$F$2=""),"",IF(Q71&gt;=Rules!$F$2,"Yes","No"))</f>
        <v/>
      </c>
    </row>
    <row r="72" customFormat="false" ht="15" hidden="false" customHeight="false" outlineLevel="0" collapsed="false">
      <c r="H72" s="3"/>
      <c r="J72" s="3"/>
      <c r="K72" s="4" t="str">
        <f aca="false">IF(I72="","",IFERROR(VLOOKUP(I72,Rules!$A$2:$C$9,2,FALSE()),""))</f>
        <v/>
      </c>
      <c r="L72" s="5" t="str">
        <f aca="false">IF(OR(I72="",J72=""),"",IFERROR(J72+VLOOKUP(I72,Rules!$A$2:$C$9,3,FALSE()),""))</f>
        <v/>
      </c>
      <c r="M72" s="4" t="str">
        <f aca="true">IF(OR(L72="",I72="8 Closed"),"",IF(L72&lt;TODAY(),"OVERDUE",IF(L72-TODAY()&lt;=2,"Due soon","")))</f>
        <v/>
      </c>
      <c r="R72" s="4" t="str">
        <f aca="false">IF(OR(Q72="",Rules!$F$2=""),"",IF(Q72&gt;=Rules!$F$2,"Yes","No"))</f>
        <v/>
      </c>
    </row>
    <row r="73" customFormat="false" ht="15" hidden="false" customHeight="false" outlineLevel="0" collapsed="false">
      <c r="H73" s="3"/>
      <c r="J73" s="3"/>
      <c r="K73" s="4" t="str">
        <f aca="false">IF(I73="","",IFERROR(VLOOKUP(I73,Rules!$A$2:$C$9,2,FALSE()),""))</f>
        <v/>
      </c>
      <c r="L73" s="5" t="str">
        <f aca="false">IF(OR(I73="",J73=""),"",IFERROR(J73+VLOOKUP(I73,Rules!$A$2:$C$9,3,FALSE()),""))</f>
        <v/>
      </c>
      <c r="M73" s="4" t="str">
        <f aca="true">IF(OR(L73="",I73="8 Closed"),"",IF(L73&lt;TODAY(),"OVERDUE",IF(L73-TODAY()&lt;=2,"Due soon","")))</f>
        <v/>
      </c>
      <c r="R73" s="4" t="str">
        <f aca="false">IF(OR(Q73="",Rules!$F$2=""),"",IF(Q73&gt;=Rules!$F$2,"Yes","No"))</f>
        <v/>
      </c>
    </row>
    <row r="74" customFormat="false" ht="15" hidden="false" customHeight="false" outlineLevel="0" collapsed="false">
      <c r="H74" s="3"/>
      <c r="J74" s="3"/>
      <c r="K74" s="4" t="str">
        <f aca="false">IF(I74="","",IFERROR(VLOOKUP(I74,Rules!$A$2:$C$9,2,FALSE()),""))</f>
        <v/>
      </c>
      <c r="L74" s="5" t="str">
        <f aca="false">IF(OR(I74="",J74=""),"",IFERROR(J74+VLOOKUP(I74,Rules!$A$2:$C$9,3,FALSE()),""))</f>
        <v/>
      </c>
      <c r="M74" s="4" t="str">
        <f aca="true">IF(OR(L74="",I74="8 Closed"),"",IF(L74&lt;TODAY(),"OVERDUE",IF(L74-TODAY()&lt;=2,"Due soon","")))</f>
        <v/>
      </c>
      <c r="R74" s="4" t="str">
        <f aca="false">IF(OR(Q74="",Rules!$F$2=""),"",IF(Q74&gt;=Rules!$F$2,"Yes","No"))</f>
        <v/>
      </c>
    </row>
    <row r="75" customFormat="false" ht="15" hidden="false" customHeight="false" outlineLevel="0" collapsed="false">
      <c r="H75" s="3"/>
      <c r="J75" s="3"/>
      <c r="K75" s="4" t="str">
        <f aca="false">IF(I75="","",IFERROR(VLOOKUP(I75,Rules!$A$2:$C$9,2,FALSE()),""))</f>
        <v/>
      </c>
      <c r="L75" s="5" t="str">
        <f aca="false">IF(OR(I75="",J75=""),"",IFERROR(J75+VLOOKUP(I75,Rules!$A$2:$C$9,3,FALSE()),""))</f>
        <v/>
      </c>
      <c r="M75" s="4" t="str">
        <f aca="true">IF(OR(L75="",I75="8 Closed"),"",IF(L75&lt;TODAY(),"OVERDUE",IF(L75-TODAY()&lt;=2,"Due soon","")))</f>
        <v/>
      </c>
      <c r="R75" s="4" t="str">
        <f aca="false">IF(OR(Q75="",Rules!$F$2=""),"",IF(Q75&gt;=Rules!$F$2,"Yes","No"))</f>
        <v/>
      </c>
    </row>
    <row r="76" customFormat="false" ht="15" hidden="false" customHeight="false" outlineLevel="0" collapsed="false">
      <c r="H76" s="3"/>
      <c r="J76" s="3"/>
      <c r="K76" s="4" t="str">
        <f aca="false">IF(I76="","",IFERROR(VLOOKUP(I76,Rules!$A$2:$C$9,2,FALSE()),""))</f>
        <v/>
      </c>
      <c r="L76" s="5" t="str">
        <f aca="false">IF(OR(I76="",J76=""),"",IFERROR(J76+VLOOKUP(I76,Rules!$A$2:$C$9,3,FALSE()),""))</f>
        <v/>
      </c>
      <c r="M76" s="4" t="str">
        <f aca="true">IF(OR(L76="",I76="8 Closed"),"",IF(L76&lt;TODAY(),"OVERDUE",IF(L76-TODAY()&lt;=2,"Due soon","")))</f>
        <v/>
      </c>
      <c r="R76" s="4" t="str">
        <f aca="false">IF(OR(Q76="",Rules!$F$2=""),"",IF(Q76&gt;=Rules!$F$2,"Yes","No"))</f>
        <v/>
      </c>
    </row>
    <row r="77" customFormat="false" ht="15" hidden="false" customHeight="false" outlineLevel="0" collapsed="false">
      <c r="H77" s="3"/>
      <c r="J77" s="3"/>
      <c r="K77" s="4" t="str">
        <f aca="false">IF(I77="","",IFERROR(VLOOKUP(I77,Rules!$A$2:$C$9,2,FALSE()),""))</f>
        <v/>
      </c>
      <c r="L77" s="5" t="str">
        <f aca="false">IF(OR(I77="",J77=""),"",IFERROR(J77+VLOOKUP(I77,Rules!$A$2:$C$9,3,FALSE()),""))</f>
        <v/>
      </c>
      <c r="M77" s="4" t="str">
        <f aca="true">IF(OR(L77="",I77="8 Closed"),"",IF(L77&lt;TODAY(),"OVERDUE",IF(L77-TODAY()&lt;=2,"Due soon","")))</f>
        <v/>
      </c>
      <c r="R77" s="4" t="str">
        <f aca="false">IF(OR(Q77="",Rules!$F$2=""),"",IF(Q77&gt;=Rules!$F$2,"Yes","No"))</f>
        <v/>
      </c>
    </row>
    <row r="78" customFormat="false" ht="15" hidden="false" customHeight="false" outlineLevel="0" collapsed="false">
      <c r="H78" s="3"/>
      <c r="J78" s="3"/>
      <c r="K78" s="4" t="str">
        <f aca="false">IF(I78="","",IFERROR(VLOOKUP(I78,Rules!$A$2:$C$9,2,FALSE()),""))</f>
        <v/>
      </c>
      <c r="L78" s="5" t="str">
        <f aca="false">IF(OR(I78="",J78=""),"",IFERROR(J78+VLOOKUP(I78,Rules!$A$2:$C$9,3,FALSE()),""))</f>
        <v/>
      </c>
      <c r="M78" s="4" t="str">
        <f aca="true">IF(OR(L78="",I78="8 Closed"),"",IF(L78&lt;TODAY(),"OVERDUE",IF(L78-TODAY()&lt;=2,"Due soon","")))</f>
        <v/>
      </c>
      <c r="R78" s="4" t="str">
        <f aca="false">IF(OR(Q78="",Rules!$F$2=""),"",IF(Q78&gt;=Rules!$F$2,"Yes","No"))</f>
        <v/>
      </c>
    </row>
    <row r="79" customFormat="false" ht="15" hidden="false" customHeight="false" outlineLevel="0" collapsed="false">
      <c r="H79" s="3"/>
      <c r="J79" s="3"/>
      <c r="K79" s="4" t="str">
        <f aca="false">IF(I79="","",IFERROR(VLOOKUP(I79,Rules!$A$2:$C$9,2,FALSE()),""))</f>
        <v/>
      </c>
      <c r="L79" s="5" t="str">
        <f aca="false">IF(OR(I79="",J79=""),"",IFERROR(J79+VLOOKUP(I79,Rules!$A$2:$C$9,3,FALSE()),""))</f>
        <v/>
      </c>
      <c r="M79" s="4" t="str">
        <f aca="true">IF(OR(L79="",I79="8 Closed"),"",IF(L79&lt;TODAY(),"OVERDUE",IF(L79-TODAY()&lt;=2,"Due soon","")))</f>
        <v/>
      </c>
      <c r="R79" s="4" t="str">
        <f aca="false">IF(OR(Q79="",Rules!$F$2=""),"",IF(Q79&gt;=Rules!$F$2,"Yes","No"))</f>
        <v/>
      </c>
    </row>
    <row r="80" customFormat="false" ht="15" hidden="false" customHeight="false" outlineLevel="0" collapsed="false">
      <c r="H80" s="3"/>
      <c r="J80" s="3"/>
      <c r="K80" s="4" t="str">
        <f aca="false">IF(I80="","",IFERROR(VLOOKUP(I80,Rules!$A$2:$C$9,2,FALSE()),""))</f>
        <v/>
      </c>
      <c r="L80" s="5" t="str">
        <f aca="false">IF(OR(I80="",J80=""),"",IFERROR(J80+VLOOKUP(I80,Rules!$A$2:$C$9,3,FALSE()),""))</f>
        <v/>
      </c>
      <c r="M80" s="4" t="str">
        <f aca="true">IF(OR(L80="",I80="8 Closed"),"",IF(L80&lt;TODAY(),"OVERDUE",IF(L80-TODAY()&lt;=2,"Due soon","")))</f>
        <v/>
      </c>
      <c r="R80" s="4" t="str">
        <f aca="false">IF(OR(Q80="",Rules!$F$2=""),"",IF(Q80&gt;=Rules!$F$2,"Yes","No"))</f>
        <v/>
      </c>
    </row>
    <row r="81" customFormat="false" ht="15" hidden="false" customHeight="false" outlineLevel="0" collapsed="false">
      <c r="H81" s="3"/>
      <c r="J81" s="3"/>
      <c r="K81" s="4" t="str">
        <f aca="false">IF(I81="","",IFERROR(VLOOKUP(I81,Rules!$A$2:$C$9,2,FALSE()),""))</f>
        <v/>
      </c>
      <c r="L81" s="5" t="str">
        <f aca="false">IF(OR(I81="",J81=""),"",IFERROR(J81+VLOOKUP(I81,Rules!$A$2:$C$9,3,FALSE()),""))</f>
        <v/>
      </c>
      <c r="M81" s="4" t="str">
        <f aca="true">IF(OR(L81="",I81="8 Closed"),"",IF(L81&lt;TODAY(),"OVERDUE",IF(L81-TODAY()&lt;=2,"Due soon","")))</f>
        <v/>
      </c>
      <c r="R81" s="4" t="str">
        <f aca="false">IF(OR(Q81="",Rules!$F$2=""),"",IF(Q81&gt;=Rules!$F$2,"Yes","No"))</f>
        <v/>
      </c>
    </row>
    <row r="82" customFormat="false" ht="15" hidden="false" customHeight="false" outlineLevel="0" collapsed="false">
      <c r="H82" s="3"/>
      <c r="J82" s="3"/>
      <c r="K82" s="4" t="str">
        <f aca="false">IF(I82="","",IFERROR(VLOOKUP(I82,Rules!$A$2:$C$9,2,FALSE()),""))</f>
        <v/>
      </c>
      <c r="L82" s="5" t="str">
        <f aca="false">IF(OR(I82="",J82=""),"",IFERROR(J82+VLOOKUP(I82,Rules!$A$2:$C$9,3,FALSE()),""))</f>
        <v/>
      </c>
      <c r="M82" s="4" t="str">
        <f aca="true">IF(OR(L82="",I82="8 Closed"),"",IF(L82&lt;TODAY(),"OVERDUE",IF(L82-TODAY()&lt;=2,"Due soon","")))</f>
        <v/>
      </c>
      <c r="R82" s="4" t="str">
        <f aca="false">IF(OR(Q82="",Rules!$F$2=""),"",IF(Q82&gt;=Rules!$F$2,"Yes","No"))</f>
        <v/>
      </c>
    </row>
    <row r="83" customFormat="false" ht="15" hidden="false" customHeight="false" outlineLevel="0" collapsed="false">
      <c r="H83" s="3"/>
      <c r="J83" s="3"/>
      <c r="K83" s="4" t="str">
        <f aca="false">IF(I83="","",IFERROR(VLOOKUP(I83,Rules!$A$2:$C$9,2,FALSE()),""))</f>
        <v/>
      </c>
      <c r="L83" s="5" t="str">
        <f aca="false">IF(OR(I83="",J83=""),"",IFERROR(J83+VLOOKUP(I83,Rules!$A$2:$C$9,3,FALSE()),""))</f>
        <v/>
      </c>
      <c r="M83" s="4" t="str">
        <f aca="true">IF(OR(L83="",I83="8 Closed"),"",IF(L83&lt;TODAY(),"OVERDUE",IF(L83-TODAY()&lt;=2,"Due soon","")))</f>
        <v/>
      </c>
      <c r="R83" s="4" t="str">
        <f aca="false">IF(OR(Q83="",Rules!$F$2=""),"",IF(Q83&gt;=Rules!$F$2,"Yes","No"))</f>
        <v/>
      </c>
    </row>
    <row r="84" customFormat="false" ht="15" hidden="false" customHeight="false" outlineLevel="0" collapsed="false">
      <c r="H84" s="3"/>
      <c r="J84" s="3"/>
      <c r="K84" s="4" t="str">
        <f aca="false">IF(I84="","",IFERROR(VLOOKUP(I84,Rules!$A$2:$C$9,2,FALSE()),""))</f>
        <v/>
      </c>
      <c r="L84" s="5" t="str">
        <f aca="false">IF(OR(I84="",J84=""),"",IFERROR(J84+VLOOKUP(I84,Rules!$A$2:$C$9,3,FALSE()),""))</f>
        <v/>
      </c>
      <c r="M84" s="4" t="str">
        <f aca="true">IF(OR(L84="",I84="8 Closed"),"",IF(L84&lt;TODAY(),"OVERDUE",IF(L84-TODAY()&lt;=2,"Due soon","")))</f>
        <v/>
      </c>
      <c r="R84" s="4" t="str">
        <f aca="false">IF(OR(Q84="",Rules!$F$2=""),"",IF(Q84&gt;=Rules!$F$2,"Yes","No"))</f>
        <v/>
      </c>
    </row>
    <row r="85" customFormat="false" ht="15" hidden="false" customHeight="false" outlineLevel="0" collapsed="false">
      <c r="H85" s="3"/>
      <c r="J85" s="3"/>
      <c r="K85" s="4" t="str">
        <f aca="false">IF(I85="","",IFERROR(VLOOKUP(I85,Rules!$A$2:$C$9,2,FALSE()),""))</f>
        <v/>
      </c>
      <c r="L85" s="5" t="str">
        <f aca="false">IF(OR(I85="",J85=""),"",IFERROR(J85+VLOOKUP(I85,Rules!$A$2:$C$9,3,FALSE()),""))</f>
        <v/>
      </c>
      <c r="M85" s="4" t="str">
        <f aca="true">IF(OR(L85="",I85="8 Closed"),"",IF(L85&lt;TODAY(),"OVERDUE",IF(L85-TODAY()&lt;=2,"Due soon","")))</f>
        <v/>
      </c>
      <c r="R85" s="4" t="str">
        <f aca="false">IF(OR(Q85="",Rules!$F$2=""),"",IF(Q85&gt;=Rules!$F$2,"Yes","No"))</f>
        <v/>
      </c>
    </row>
    <row r="86" customFormat="false" ht="15" hidden="false" customHeight="false" outlineLevel="0" collapsed="false">
      <c r="H86" s="3"/>
      <c r="J86" s="3"/>
      <c r="K86" s="4" t="str">
        <f aca="false">IF(I86="","",IFERROR(VLOOKUP(I86,Rules!$A$2:$C$9,2,FALSE()),""))</f>
        <v/>
      </c>
      <c r="L86" s="5" t="str">
        <f aca="false">IF(OR(I86="",J86=""),"",IFERROR(J86+VLOOKUP(I86,Rules!$A$2:$C$9,3,FALSE()),""))</f>
        <v/>
      </c>
      <c r="M86" s="4" t="str">
        <f aca="true">IF(OR(L86="",I86="8 Closed"),"",IF(L86&lt;TODAY(),"OVERDUE",IF(L86-TODAY()&lt;=2,"Due soon","")))</f>
        <v/>
      </c>
      <c r="R86" s="4" t="str">
        <f aca="false">IF(OR(Q86="",Rules!$F$2=""),"",IF(Q86&gt;=Rules!$F$2,"Yes","No"))</f>
        <v/>
      </c>
    </row>
    <row r="87" customFormat="false" ht="15" hidden="false" customHeight="false" outlineLevel="0" collapsed="false">
      <c r="H87" s="3"/>
      <c r="J87" s="3"/>
      <c r="K87" s="4" t="str">
        <f aca="false">IF(I87="","",IFERROR(VLOOKUP(I87,Rules!$A$2:$C$9,2,FALSE()),""))</f>
        <v/>
      </c>
      <c r="L87" s="5" t="str">
        <f aca="false">IF(OR(I87="",J87=""),"",IFERROR(J87+VLOOKUP(I87,Rules!$A$2:$C$9,3,FALSE()),""))</f>
        <v/>
      </c>
      <c r="M87" s="4" t="str">
        <f aca="true">IF(OR(L87="",I87="8 Closed"),"",IF(L87&lt;TODAY(),"OVERDUE",IF(L87-TODAY()&lt;=2,"Due soon","")))</f>
        <v/>
      </c>
      <c r="R87" s="4" t="str">
        <f aca="false">IF(OR(Q87="",Rules!$F$2=""),"",IF(Q87&gt;=Rules!$F$2,"Yes","No"))</f>
        <v/>
      </c>
    </row>
    <row r="88" customFormat="false" ht="15" hidden="false" customHeight="false" outlineLevel="0" collapsed="false">
      <c r="H88" s="3"/>
      <c r="J88" s="3"/>
      <c r="K88" s="4" t="str">
        <f aca="false">IF(I88="","",IFERROR(VLOOKUP(I88,Rules!$A$2:$C$9,2,FALSE()),""))</f>
        <v/>
      </c>
      <c r="L88" s="5" t="str">
        <f aca="false">IF(OR(I88="",J88=""),"",IFERROR(J88+VLOOKUP(I88,Rules!$A$2:$C$9,3,FALSE()),""))</f>
        <v/>
      </c>
      <c r="M88" s="4" t="str">
        <f aca="true">IF(OR(L88="",I88="8 Closed"),"",IF(L88&lt;TODAY(),"OVERDUE",IF(L88-TODAY()&lt;=2,"Due soon","")))</f>
        <v/>
      </c>
      <c r="R88" s="4" t="str">
        <f aca="false">IF(OR(Q88="",Rules!$F$2=""),"",IF(Q88&gt;=Rules!$F$2,"Yes","No"))</f>
        <v/>
      </c>
    </row>
    <row r="89" customFormat="false" ht="15" hidden="false" customHeight="false" outlineLevel="0" collapsed="false">
      <c r="H89" s="3"/>
      <c r="J89" s="3"/>
      <c r="K89" s="4" t="str">
        <f aca="false">IF(I89="","",IFERROR(VLOOKUP(I89,Rules!$A$2:$C$9,2,FALSE()),""))</f>
        <v/>
      </c>
      <c r="L89" s="5" t="str">
        <f aca="false">IF(OR(I89="",J89=""),"",IFERROR(J89+VLOOKUP(I89,Rules!$A$2:$C$9,3,FALSE()),""))</f>
        <v/>
      </c>
      <c r="M89" s="4" t="str">
        <f aca="true">IF(OR(L89="",I89="8 Closed"),"",IF(L89&lt;TODAY(),"OVERDUE",IF(L89-TODAY()&lt;=2,"Due soon","")))</f>
        <v/>
      </c>
      <c r="R89" s="4" t="str">
        <f aca="false">IF(OR(Q89="",Rules!$F$2=""),"",IF(Q89&gt;=Rules!$F$2,"Yes","No"))</f>
        <v/>
      </c>
    </row>
    <row r="90" customFormat="false" ht="15" hidden="false" customHeight="false" outlineLevel="0" collapsed="false">
      <c r="H90" s="3"/>
      <c r="J90" s="3"/>
      <c r="K90" s="4" t="str">
        <f aca="false">IF(I90="","",IFERROR(VLOOKUP(I90,Rules!$A$2:$C$9,2,FALSE()),""))</f>
        <v/>
      </c>
      <c r="L90" s="5" t="str">
        <f aca="false">IF(OR(I90="",J90=""),"",IFERROR(J90+VLOOKUP(I90,Rules!$A$2:$C$9,3,FALSE()),""))</f>
        <v/>
      </c>
      <c r="M90" s="4" t="str">
        <f aca="true">IF(OR(L90="",I90="8 Closed"),"",IF(L90&lt;TODAY(),"OVERDUE",IF(L90-TODAY()&lt;=2,"Due soon","")))</f>
        <v/>
      </c>
      <c r="R90" s="4" t="str">
        <f aca="false">IF(OR(Q90="",Rules!$F$2=""),"",IF(Q90&gt;=Rules!$F$2,"Yes","No"))</f>
        <v/>
      </c>
    </row>
    <row r="91" customFormat="false" ht="15" hidden="false" customHeight="false" outlineLevel="0" collapsed="false">
      <c r="H91" s="3"/>
      <c r="J91" s="3"/>
      <c r="K91" s="4" t="str">
        <f aca="false">IF(I91="","",IFERROR(VLOOKUP(I91,Rules!$A$2:$C$9,2,FALSE()),""))</f>
        <v/>
      </c>
      <c r="L91" s="5" t="str">
        <f aca="false">IF(OR(I91="",J91=""),"",IFERROR(J91+VLOOKUP(I91,Rules!$A$2:$C$9,3,FALSE()),""))</f>
        <v/>
      </c>
      <c r="M91" s="4" t="str">
        <f aca="true">IF(OR(L91="",I91="8 Closed"),"",IF(L91&lt;TODAY(),"OVERDUE",IF(L91-TODAY()&lt;=2,"Due soon","")))</f>
        <v/>
      </c>
      <c r="R91" s="4" t="str">
        <f aca="false">IF(OR(Q91="",Rules!$F$2=""),"",IF(Q91&gt;=Rules!$F$2,"Yes","No"))</f>
        <v/>
      </c>
    </row>
    <row r="92" customFormat="false" ht="15" hidden="false" customHeight="false" outlineLevel="0" collapsed="false">
      <c r="H92" s="3"/>
      <c r="J92" s="3"/>
      <c r="K92" s="4" t="str">
        <f aca="false">IF(I92="","",IFERROR(VLOOKUP(I92,Rules!$A$2:$C$9,2,FALSE()),""))</f>
        <v/>
      </c>
      <c r="L92" s="5" t="str">
        <f aca="false">IF(OR(I92="",J92=""),"",IFERROR(J92+VLOOKUP(I92,Rules!$A$2:$C$9,3,FALSE()),""))</f>
        <v/>
      </c>
      <c r="M92" s="4" t="str">
        <f aca="true">IF(OR(L92="",I92="8 Closed"),"",IF(L92&lt;TODAY(),"OVERDUE",IF(L92-TODAY()&lt;=2,"Due soon","")))</f>
        <v/>
      </c>
      <c r="R92" s="4" t="str">
        <f aca="false">IF(OR(Q92="",Rules!$F$2=""),"",IF(Q92&gt;=Rules!$F$2,"Yes","No"))</f>
        <v/>
      </c>
    </row>
    <row r="93" customFormat="false" ht="15" hidden="false" customHeight="false" outlineLevel="0" collapsed="false">
      <c r="H93" s="3"/>
      <c r="J93" s="3"/>
      <c r="K93" s="4" t="str">
        <f aca="false">IF(I93="","",IFERROR(VLOOKUP(I93,Rules!$A$2:$C$9,2,FALSE()),""))</f>
        <v/>
      </c>
      <c r="L93" s="5" t="str">
        <f aca="false">IF(OR(I93="",J93=""),"",IFERROR(J93+VLOOKUP(I93,Rules!$A$2:$C$9,3,FALSE()),""))</f>
        <v/>
      </c>
      <c r="M93" s="4" t="str">
        <f aca="true">IF(OR(L93="",I93="8 Closed"),"",IF(L93&lt;TODAY(),"OVERDUE",IF(L93-TODAY()&lt;=2,"Due soon","")))</f>
        <v/>
      </c>
      <c r="R93" s="4" t="str">
        <f aca="false">IF(OR(Q93="",Rules!$F$2=""),"",IF(Q93&gt;=Rules!$F$2,"Yes","No"))</f>
        <v/>
      </c>
    </row>
    <row r="94" customFormat="false" ht="15" hidden="false" customHeight="false" outlineLevel="0" collapsed="false">
      <c r="H94" s="3"/>
      <c r="J94" s="3"/>
      <c r="K94" s="4" t="str">
        <f aca="false">IF(I94="","",IFERROR(VLOOKUP(I94,Rules!$A$2:$C$9,2,FALSE()),""))</f>
        <v/>
      </c>
      <c r="L94" s="5" t="str">
        <f aca="false">IF(OR(I94="",J94=""),"",IFERROR(J94+VLOOKUP(I94,Rules!$A$2:$C$9,3,FALSE()),""))</f>
        <v/>
      </c>
      <c r="M94" s="4" t="str">
        <f aca="true">IF(OR(L94="",I94="8 Closed"),"",IF(L94&lt;TODAY(),"OVERDUE",IF(L94-TODAY()&lt;=2,"Due soon","")))</f>
        <v/>
      </c>
      <c r="R94" s="4" t="str">
        <f aca="false">IF(OR(Q94="",Rules!$F$2=""),"",IF(Q94&gt;=Rules!$F$2,"Yes","No"))</f>
        <v/>
      </c>
    </row>
    <row r="95" customFormat="false" ht="15" hidden="false" customHeight="false" outlineLevel="0" collapsed="false">
      <c r="H95" s="3"/>
      <c r="J95" s="3"/>
      <c r="K95" s="4" t="str">
        <f aca="false">IF(I95="","",IFERROR(VLOOKUP(I95,Rules!$A$2:$C$9,2,FALSE()),""))</f>
        <v/>
      </c>
      <c r="L95" s="5" t="str">
        <f aca="false">IF(OR(I95="",J95=""),"",IFERROR(J95+VLOOKUP(I95,Rules!$A$2:$C$9,3,FALSE()),""))</f>
        <v/>
      </c>
      <c r="M95" s="4" t="str">
        <f aca="true">IF(OR(L95="",I95="8 Closed"),"",IF(L95&lt;TODAY(),"OVERDUE",IF(L95-TODAY()&lt;=2,"Due soon","")))</f>
        <v/>
      </c>
      <c r="R95" s="4" t="str">
        <f aca="false">IF(OR(Q95="",Rules!$F$2=""),"",IF(Q95&gt;=Rules!$F$2,"Yes","No"))</f>
        <v/>
      </c>
    </row>
    <row r="96" customFormat="false" ht="15" hidden="false" customHeight="false" outlineLevel="0" collapsed="false">
      <c r="H96" s="3"/>
      <c r="J96" s="3"/>
      <c r="K96" s="4" t="str">
        <f aca="false">IF(I96="","",IFERROR(VLOOKUP(I96,Rules!$A$2:$C$9,2,FALSE()),""))</f>
        <v/>
      </c>
      <c r="L96" s="5" t="str">
        <f aca="false">IF(OR(I96="",J96=""),"",IFERROR(J96+VLOOKUP(I96,Rules!$A$2:$C$9,3,FALSE()),""))</f>
        <v/>
      </c>
      <c r="M96" s="4" t="str">
        <f aca="true">IF(OR(L96="",I96="8 Closed"),"",IF(L96&lt;TODAY(),"OVERDUE",IF(L96-TODAY()&lt;=2,"Due soon","")))</f>
        <v/>
      </c>
      <c r="R96" s="4" t="str">
        <f aca="false">IF(OR(Q96="",Rules!$F$2=""),"",IF(Q96&gt;=Rules!$F$2,"Yes","No"))</f>
        <v/>
      </c>
    </row>
    <row r="97" customFormat="false" ht="15" hidden="false" customHeight="false" outlineLevel="0" collapsed="false">
      <c r="H97" s="3"/>
      <c r="J97" s="3"/>
      <c r="K97" s="4" t="str">
        <f aca="false">IF(I97="","",IFERROR(VLOOKUP(I97,Rules!$A$2:$C$9,2,FALSE()),""))</f>
        <v/>
      </c>
      <c r="L97" s="5" t="str">
        <f aca="false">IF(OR(I97="",J97=""),"",IFERROR(J97+VLOOKUP(I97,Rules!$A$2:$C$9,3,FALSE()),""))</f>
        <v/>
      </c>
      <c r="M97" s="4" t="str">
        <f aca="true">IF(OR(L97="",I97="8 Closed"),"",IF(L97&lt;TODAY(),"OVERDUE",IF(L97-TODAY()&lt;=2,"Due soon","")))</f>
        <v/>
      </c>
      <c r="R97" s="4" t="str">
        <f aca="false">IF(OR(Q97="",Rules!$F$2=""),"",IF(Q97&gt;=Rules!$F$2,"Yes","No"))</f>
        <v/>
      </c>
    </row>
    <row r="98" customFormat="false" ht="15" hidden="false" customHeight="false" outlineLevel="0" collapsed="false">
      <c r="H98" s="3"/>
      <c r="J98" s="3"/>
      <c r="K98" s="4" t="str">
        <f aca="false">IF(I98="","",IFERROR(VLOOKUP(I98,Rules!$A$2:$C$9,2,FALSE()),""))</f>
        <v/>
      </c>
      <c r="L98" s="5" t="str">
        <f aca="false">IF(OR(I98="",J98=""),"",IFERROR(J98+VLOOKUP(I98,Rules!$A$2:$C$9,3,FALSE()),""))</f>
        <v/>
      </c>
      <c r="M98" s="4" t="str">
        <f aca="true">IF(OR(L98="",I98="8 Closed"),"",IF(L98&lt;TODAY(),"OVERDUE",IF(L98-TODAY()&lt;=2,"Due soon","")))</f>
        <v/>
      </c>
      <c r="R98" s="4" t="str">
        <f aca="false">IF(OR(Q98="",Rules!$F$2=""),"",IF(Q98&gt;=Rules!$F$2,"Yes","No"))</f>
        <v/>
      </c>
    </row>
    <row r="99" customFormat="false" ht="15" hidden="false" customHeight="false" outlineLevel="0" collapsed="false">
      <c r="H99" s="3"/>
      <c r="J99" s="3"/>
      <c r="K99" s="4" t="str">
        <f aca="false">IF(I99="","",IFERROR(VLOOKUP(I99,Rules!$A$2:$C$9,2,FALSE()),""))</f>
        <v/>
      </c>
      <c r="L99" s="5" t="str">
        <f aca="false">IF(OR(I99="",J99=""),"",IFERROR(J99+VLOOKUP(I99,Rules!$A$2:$C$9,3,FALSE()),""))</f>
        <v/>
      </c>
      <c r="M99" s="4" t="str">
        <f aca="true">IF(OR(L99="",I99="8 Closed"),"",IF(L99&lt;TODAY(),"OVERDUE",IF(L99-TODAY()&lt;=2,"Due soon","")))</f>
        <v/>
      </c>
      <c r="R99" s="4" t="str">
        <f aca="false">IF(OR(Q99="",Rules!$F$2=""),"",IF(Q99&gt;=Rules!$F$2,"Yes","No"))</f>
        <v/>
      </c>
    </row>
    <row r="100" customFormat="false" ht="15" hidden="false" customHeight="false" outlineLevel="0" collapsed="false">
      <c r="H100" s="3"/>
      <c r="J100" s="3"/>
      <c r="K100" s="4" t="str">
        <f aca="false">IF(I100="","",IFERROR(VLOOKUP(I100,Rules!$A$2:$C$9,2,FALSE()),""))</f>
        <v/>
      </c>
      <c r="L100" s="5" t="str">
        <f aca="false">IF(OR(I100="",J100=""),"",IFERROR(J100+VLOOKUP(I100,Rules!$A$2:$C$9,3,FALSE()),""))</f>
        <v/>
      </c>
      <c r="M100" s="4" t="str">
        <f aca="true">IF(OR(L100="",I100="8 Closed"),"",IF(L100&lt;TODAY(),"OVERDUE",IF(L100-TODAY()&lt;=2,"Due soon","")))</f>
        <v/>
      </c>
      <c r="R100" s="4" t="str">
        <f aca="false">IF(OR(Q100="",Rules!$F$2=""),"",IF(Q100&gt;=Rules!$F$2,"Yes","No"))</f>
        <v/>
      </c>
    </row>
    <row r="101" customFormat="false" ht="15" hidden="false" customHeight="false" outlineLevel="0" collapsed="false">
      <c r="H101" s="3"/>
      <c r="J101" s="3"/>
      <c r="K101" s="4" t="str">
        <f aca="false">IF(I101="","",IFERROR(VLOOKUP(I101,Rules!$A$2:$C$9,2,FALSE()),""))</f>
        <v/>
      </c>
      <c r="L101" s="5" t="str">
        <f aca="false">IF(OR(I101="",J101=""),"",IFERROR(J101+VLOOKUP(I101,Rules!$A$2:$C$9,3,FALSE()),""))</f>
        <v/>
      </c>
      <c r="M101" s="4" t="str">
        <f aca="true">IF(OR(L101="",I101="8 Closed"),"",IF(L101&lt;TODAY(),"OVERDUE",IF(L101-TODAY()&lt;=2,"Due soon","")))</f>
        <v/>
      </c>
      <c r="R101" s="4" t="str">
        <f aca="false">IF(OR(Q101="",Rules!$F$2=""),"",IF(Q101&gt;=Rules!$F$2,"Yes","No"))</f>
        <v/>
      </c>
    </row>
    <row r="102" customFormat="false" ht="15" hidden="false" customHeight="false" outlineLevel="0" collapsed="false">
      <c r="H102" s="3"/>
      <c r="J102" s="3"/>
      <c r="K102" s="4" t="str">
        <f aca="false">IF(I102="","",IFERROR(VLOOKUP(I102,Rules!$A$2:$C$9,2,FALSE()),""))</f>
        <v/>
      </c>
      <c r="L102" s="5" t="str">
        <f aca="false">IF(OR(I102="",J102=""),"",IFERROR(J102+VLOOKUP(I102,Rules!$A$2:$C$9,3,FALSE()),""))</f>
        <v/>
      </c>
      <c r="M102" s="4" t="str">
        <f aca="true">IF(OR(L102="",I102="8 Closed"),"",IF(L102&lt;TODAY(),"OVERDUE",IF(L102-TODAY()&lt;=2,"Due soon","")))</f>
        <v/>
      </c>
      <c r="R102" s="4" t="str">
        <f aca="false">IF(OR(Q102="",Rules!$F$2=""),"",IF(Q102&gt;=Rules!$F$2,"Yes","No"))</f>
        <v/>
      </c>
    </row>
    <row r="103" customFormat="false" ht="15" hidden="false" customHeight="false" outlineLevel="0" collapsed="false">
      <c r="H103" s="3"/>
      <c r="J103" s="3"/>
      <c r="K103" s="4" t="str">
        <f aca="false">IF(I103="","",IFERROR(VLOOKUP(I103,Rules!$A$2:$C$9,2,FALSE()),""))</f>
        <v/>
      </c>
      <c r="L103" s="5" t="str">
        <f aca="false">IF(OR(I103="",J103=""),"",IFERROR(J103+VLOOKUP(I103,Rules!$A$2:$C$9,3,FALSE()),""))</f>
        <v/>
      </c>
      <c r="M103" s="4" t="str">
        <f aca="true">IF(OR(L103="",I103="8 Closed"),"",IF(L103&lt;TODAY(),"OVERDUE",IF(L103-TODAY()&lt;=2,"Due soon","")))</f>
        <v/>
      </c>
      <c r="R103" s="4" t="str">
        <f aca="false">IF(OR(Q103="",Rules!$F$2=""),"",IF(Q103&gt;=Rules!$F$2,"Yes","No"))</f>
        <v/>
      </c>
    </row>
    <row r="104" customFormat="false" ht="15" hidden="false" customHeight="false" outlineLevel="0" collapsed="false">
      <c r="H104" s="3"/>
      <c r="J104" s="3"/>
      <c r="K104" s="4" t="str">
        <f aca="false">IF(I104="","",IFERROR(VLOOKUP(I104,Rules!$A$2:$C$9,2,FALSE()),""))</f>
        <v/>
      </c>
      <c r="L104" s="5" t="str">
        <f aca="false">IF(OR(I104="",J104=""),"",IFERROR(J104+VLOOKUP(I104,Rules!$A$2:$C$9,3,FALSE()),""))</f>
        <v/>
      </c>
      <c r="M104" s="4" t="str">
        <f aca="true">IF(OR(L104="",I104="8 Closed"),"",IF(L104&lt;TODAY(),"OVERDUE",IF(L104-TODAY()&lt;=2,"Due soon","")))</f>
        <v/>
      </c>
      <c r="R104" s="4" t="str">
        <f aca="false">IF(OR(Q104="",Rules!$F$2=""),"",IF(Q104&gt;=Rules!$F$2,"Yes","No"))</f>
        <v/>
      </c>
    </row>
    <row r="105" customFormat="false" ht="15" hidden="false" customHeight="false" outlineLevel="0" collapsed="false">
      <c r="H105" s="3"/>
      <c r="J105" s="3"/>
      <c r="K105" s="4" t="str">
        <f aca="false">IF(I105="","",IFERROR(VLOOKUP(I105,Rules!$A$2:$C$9,2,FALSE()),""))</f>
        <v/>
      </c>
      <c r="L105" s="5" t="str">
        <f aca="false">IF(OR(I105="",J105=""),"",IFERROR(J105+VLOOKUP(I105,Rules!$A$2:$C$9,3,FALSE()),""))</f>
        <v/>
      </c>
      <c r="M105" s="4" t="str">
        <f aca="true">IF(OR(L105="",I105="8 Closed"),"",IF(L105&lt;TODAY(),"OVERDUE",IF(L105-TODAY()&lt;=2,"Due soon","")))</f>
        <v/>
      </c>
      <c r="R105" s="4" t="str">
        <f aca="false">IF(OR(Q105="",Rules!$F$2=""),"",IF(Q105&gt;=Rules!$F$2,"Yes","No"))</f>
        <v/>
      </c>
    </row>
    <row r="106" customFormat="false" ht="15" hidden="false" customHeight="false" outlineLevel="0" collapsed="false">
      <c r="H106" s="3"/>
      <c r="J106" s="3"/>
      <c r="K106" s="4" t="str">
        <f aca="false">IF(I106="","",IFERROR(VLOOKUP(I106,Rules!$A$2:$C$9,2,FALSE()),""))</f>
        <v/>
      </c>
      <c r="L106" s="5" t="str">
        <f aca="false">IF(OR(I106="",J106=""),"",IFERROR(J106+VLOOKUP(I106,Rules!$A$2:$C$9,3,FALSE()),""))</f>
        <v/>
      </c>
      <c r="M106" s="4" t="str">
        <f aca="true">IF(OR(L106="",I106="8 Closed"),"",IF(L106&lt;TODAY(),"OVERDUE",IF(L106-TODAY()&lt;=2,"Due soon","")))</f>
        <v/>
      </c>
      <c r="R106" s="4" t="str">
        <f aca="false">IF(OR(Q106="",Rules!$F$2=""),"",IF(Q106&gt;=Rules!$F$2,"Yes","No"))</f>
        <v/>
      </c>
    </row>
    <row r="107" customFormat="false" ht="15" hidden="false" customHeight="false" outlineLevel="0" collapsed="false">
      <c r="H107" s="3"/>
      <c r="J107" s="3"/>
      <c r="K107" s="4" t="str">
        <f aca="false">IF(I107="","",IFERROR(VLOOKUP(I107,Rules!$A$2:$C$9,2,FALSE()),""))</f>
        <v/>
      </c>
      <c r="L107" s="5" t="str">
        <f aca="false">IF(OR(I107="",J107=""),"",IFERROR(J107+VLOOKUP(I107,Rules!$A$2:$C$9,3,FALSE()),""))</f>
        <v/>
      </c>
      <c r="M107" s="4" t="str">
        <f aca="true">IF(OR(L107="",I107="8 Closed"),"",IF(L107&lt;TODAY(),"OVERDUE",IF(L107-TODAY()&lt;=2,"Due soon","")))</f>
        <v/>
      </c>
      <c r="R107" s="4" t="str">
        <f aca="false">IF(OR(Q107="",Rules!$F$2=""),"",IF(Q107&gt;=Rules!$F$2,"Yes","No"))</f>
        <v/>
      </c>
    </row>
    <row r="108" customFormat="false" ht="15" hidden="false" customHeight="false" outlineLevel="0" collapsed="false">
      <c r="H108" s="3"/>
      <c r="J108" s="3"/>
      <c r="K108" s="4" t="str">
        <f aca="false">IF(I108="","",IFERROR(VLOOKUP(I108,Rules!$A$2:$C$9,2,FALSE()),""))</f>
        <v/>
      </c>
      <c r="L108" s="5" t="str">
        <f aca="false">IF(OR(I108="",J108=""),"",IFERROR(J108+VLOOKUP(I108,Rules!$A$2:$C$9,3,FALSE()),""))</f>
        <v/>
      </c>
      <c r="M108" s="4" t="str">
        <f aca="true">IF(OR(L108="",I108="8 Closed"),"",IF(L108&lt;TODAY(),"OVERDUE",IF(L108-TODAY()&lt;=2,"Due soon","")))</f>
        <v/>
      </c>
      <c r="R108" s="4" t="str">
        <f aca="false">IF(OR(Q108="",Rules!$F$2=""),"",IF(Q108&gt;=Rules!$F$2,"Yes","No"))</f>
        <v/>
      </c>
    </row>
    <row r="109" customFormat="false" ht="15" hidden="false" customHeight="false" outlineLevel="0" collapsed="false">
      <c r="H109" s="3"/>
      <c r="J109" s="3"/>
      <c r="K109" s="4" t="str">
        <f aca="false">IF(I109="","",IFERROR(VLOOKUP(I109,Rules!$A$2:$C$9,2,FALSE()),""))</f>
        <v/>
      </c>
      <c r="L109" s="5" t="str">
        <f aca="false">IF(OR(I109="",J109=""),"",IFERROR(J109+VLOOKUP(I109,Rules!$A$2:$C$9,3,FALSE()),""))</f>
        <v/>
      </c>
      <c r="M109" s="4" t="str">
        <f aca="true">IF(OR(L109="",I109="8 Closed"),"",IF(L109&lt;TODAY(),"OVERDUE",IF(L109-TODAY()&lt;=2,"Due soon","")))</f>
        <v/>
      </c>
      <c r="R109" s="4" t="str">
        <f aca="false">IF(OR(Q109="",Rules!$F$2=""),"",IF(Q109&gt;=Rules!$F$2,"Yes","No"))</f>
        <v/>
      </c>
    </row>
    <row r="110" customFormat="false" ht="15" hidden="false" customHeight="false" outlineLevel="0" collapsed="false">
      <c r="H110" s="3"/>
      <c r="J110" s="3"/>
      <c r="K110" s="4" t="str">
        <f aca="false">IF(I110="","",IFERROR(VLOOKUP(I110,Rules!$A$2:$C$9,2,FALSE()),""))</f>
        <v/>
      </c>
      <c r="L110" s="5" t="str">
        <f aca="false">IF(OR(I110="",J110=""),"",IFERROR(J110+VLOOKUP(I110,Rules!$A$2:$C$9,3,FALSE()),""))</f>
        <v/>
      </c>
      <c r="M110" s="4" t="str">
        <f aca="true">IF(OR(L110="",I110="8 Closed"),"",IF(L110&lt;TODAY(),"OVERDUE",IF(L110-TODAY()&lt;=2,"Due soon","")))</f>
        <v/>
      </c>
      <c r="R110" s="4" t="str">
        <f aca="false">IF(OR(Q110="",Rules!$F$2=""),"",IF(Q110&gt;=Rules!$F$2,"Yes","No"))</f>
        <v/>
      </c>
    </row>
    <row r="111" customFormat="false" ht="15" hidden="false" customHeight="false" outlineLevel="0" collapsed="false">
      <c r="H111" s="3"/>
      <c r="J111" s="3"/>
      <c r="K111" s="4" t="str">
        <f aca="false">IF(I111="","",IFERROR(VLOOKUP(I111,Rules!$A$2:$C$9,2,FALSE()),""))</f>
        <v/>
      </c>
      <c r="L111" s="5" t="str">
        <f aca="false">IF(OR(I111="",J111=""),"",IFERROR(J111+VLOOKUP(I111,Rules!$A$2:$C$9,3,FALSE()),""))</f>
        <v/>
      </c>
      <c r="M111" s="4" t="str">
        <f aca="true">IF(OR(L111="",I111="8 Closed"),"",IF(L111&lt;TODAY(),"OVERDUE",IF(L111-TODAY()&lt;=2,"Due soon","")))</f>
        <v/>
      </c>
      <c r="R111" s="4" t="str">
        <f aca="false">IF(OR(Q111="",Rules!$F$2=""),"",IF(Q111&gt;=Rules!$F$2,"Yes","No"))</f>
        <v/>
      </c>
    </row>
    <row r="112" customFormat="false" ht="15" hidden="false" customHeight="false" outlineLevel="0" collapsed="false">
      <c r="H112" s="3"/>
      <c r="J112" s="3"/>
      <c r="K112" s="4" t="str">
        <f aca="false">IF(I112="","",IFERROR(VLOOKUP(I112,Rules!$A$2:$C$9,2,FALSE()),""))</f>
        <v/>
      </c>
      <c r="L112" s="5" t="str">
        <f aca="false">IF(OR(I112="",J112=""),"",IFERROR(J112+VLOOKUP(I112,Rules!$A$2:$C$9,3,FALSE()),""))</f>
        <v/>
      </c>
      <c r="M112" s="4" t="str">
        <f aca="true">IF(OR(L112="",I112="8 Closed"),"",IF(L112&lt;TODAY(),"OVERDUE",IF(L112-TODAY()&lt;=2,"Due soon","")))</f>
        <v/>
      </c>
      <c r="R112" s="4" t="str">
        <f aca="false">IF(OR(Q112="",Rules!$F$2=""),"",IF(Q112&gt;=Rules!$F$2,"Yes","No"))</f>
        <v/>
      </c>
    </row>
    <row r="113" customFormat="false" ht="15" hidden="false" customHeight="false" outlineLevel="0" collapsed="false">
      <c r="H113" s="3"/>
      <c r="J113" s="3"/>
      <c r="K113" s="4" t="str">
        <f aca="false">IF(I113="","",IFERROR(VLOOKUP(I113,Rules!$A$2:$C$9,2,FALSE()),""))</f>
        <v/>
      </c>
      <c r="L113" s="5" t="str">
        <f aca="false">IF(OR(I113="",J113=""),"",IFERROR(J113+VLOOKUP(I113,Rules!$A$2:$C$9,3,FALSE()),""))</f>
        <v/>
      </c>
      <c r="M113" s="4" t="str">
        <f aca="true">IF(OR(L113="",I113="8 Closed"),"",IF(L113&lt;TODAY(),"OVERDUE",IF(L113-TODAY()&lt;=2,"Due soon","")))</f>
        <v/>
      </c>
      <c r="R113" s="4" t="str">
        <f aca="false">IF(OR(Q113="",Rules!$F$2=""),"",IF(Q113&gt;=Rules!$F$2,"Yes","No"))</f>
        <v/>
      </c>
    </row>
    <row r="114" customFormat="false" ht="15" hidden="false" customHeight="false" outlineLevel="0" collapsed="false">
      <c r="H114" s="3"/>
      <c r="J114" s="3"/>
      <c r="K114" s="4" t="str">
        <f aca="false">IF(I114="","",IFERROR(VLOOKUP(I114,Rules!$A$2:$C$9,2,FALSE()),""))</f>
        <v/>
      </c>
      <c r="L114" s="5" t="str">
        <f aca="false">IF(OR(I114="",J114=""),"",IFERROR(J114+VLOOKUP(I114,Rules!$A$2:$C$9,3,FALSE()),""))</f>
        <v/>
      </c>
      <c r="M114" s="4" t="str">
        <f aca="true">IF(OR(L114="",I114="8 Closed"),"",IF(L114&lt;TODAY(),"OVERDUE",IF(L114-TODAY()&lt;=2,"Due soon","")))</f>
        <v/>
      </c>
      <c r="R114" s="4" t="str">
        <f aca="false">IF(OR(Q114="",Rules!$F$2=""),"",IF(Q114&gt;=Rules!$F$2,"Yes","No"))</f>
        <v/>
      </c>
    </row>
    <row r="115" customFormat="false" ht="15" hidden="false" customHeight="false" outlineLevel="0" collapsed="false">
      <c r="H115" s="3"/>
      <c r="J115" s="3"/>
      <c r="K115" s="4" t="str">
        <f aca="false">IF(I115="","",IFERROR(VLOOKUP(I115,Rules!$A$2:$C$9,2,FALSE()),""))</f>
        <v/>
      </c>
      <c r="L115" s="5" t="str">
        <f aca="false">IF(OR(I115="",J115=""),"",IFERROR(J115+VLOOKUP(I115,Rules!$A$2:$C$9,3,FALSE()),""))</f>
        <v/>
      </c>
      <c r="M115" s="4" t="str">
        <f aca="true">IF(OR(L115="",I115="8 Closed"),"",IF(L115&lt;TODAY(),"OVERDUE",IF(L115-TODAY()&lt;=2,"Due soon","")))</f>
        <v/>
      </c>
      <c r="R115" s="4" t="str">
        <f aca="false">IF(OR(Q115="",Rules!$F$2=""),"",IF(Q115&gt;=Rules!$F$2,"Yes","No"))</f>
        <v/>
      </c>
    </row>
    <row r="116" customFormat="false" ht="15" hidden="false" customHeight="false" outlineLevel="0" collapsed="false">
      <c r="H116" s="3"/>
      <c r="J116" s="3"/>
      <c r="K116" s="4" t="str">
        <f aca="false">IF(I116="","",IFERROR(VLOOKUP(I116,Rules!$A$2:$C$9,2,FALSE()),""))</f>
        <v/>
      </c>
      <c r="L116" s="5" t="str">
        <f aca="false">IF(OR(I116="",J116=""),"",IFERROR(J116+VLOOKUP(I116,Rules!$A$2:$C$9,3,FALSE()),""))</f>
        <v/>
      </c>
      <c r="M116" s="4" t="str">
        <f aca="true">IF(OR(L116="",I116="8 Closed"),"",IF(L116&lt;TODAY(),"OVERDUE",IF(L116-TODAY()&lt;=2,"Due soon","")))</f>
        <v/>
      </c>
      <c r="R116" s="4" t="str">
        <f aca="false">IF(OR(Q116="",Rules!$F$2=""),"",IF(Q116&gt;=Rules!$F$2,"Yes","No"))</f>
        <v/>
      </c>
    </row>
    <row r="117" customFormat="false" ht="15" hidden="false" customHeight="false" outlineLevel="0" collapsed="false">
      <c r="H117" s="3"/>
      <c r="J117" s="3"/>
      <c r="K117" s="4" t="str">
        <f aca="false">IF(I117="","",IFERROR(VLOOKUP(I117,Rules!$A$2:$C$9,2,FALSE()),""))</f>
        <v/>
      </c>
      <c r="L117" s="5" t="str">
        <f aca="false">IF(OR(I117="",J117=""),"",IFERROR(J117+VLOOKUP(I117,Rules!$A$2:$C$9,3,FALSE()),""))</f>
        <v/>
      </c>
      <c r="M117" s="4" t="str">
        <f aca="true">IF(OR(L117="",I117="8 Closed"),"",IF(L117&lt;TODAY(),"OVERDUE",IF(L117-TODAY()&lt;=2,"Due soon","")))</f>
        <v/>
      </c>
      <c r="R117" s="4" t="str">
        <f aca="false">IF(OR(Q117="",Rules!$F$2=""),"",IF(Q117&gt;=Rules!$F$2,"Yes","No"))</f>
        <v/>
      </c>
    </row>
    <row r="118" customFormat="false" ht="15" hidden="false" customHeight="false" outlineLevel="0" collapsed="false">
      <c r="H118" s="3"/>
      <c r="J118" s="3"/>
      <c r="K118" s="4" t="str">
        <f aca="false">IF(I118="","",IFERROR(VLOOKUP(I118,Rules!$A$2:$C$9,2,FALSE()),""))</f>
        <v/>
      </c>
      <c r="L118" s="5" t="str">
        <f aca="false">IF(OR(I118="",J118=""),"",IFERROR(J118+VLOOKUP(I118,Rules!$A$2:$C$9,3,FALSE()),""))</f>
        <v/>
      </c>
      <c r="M118" s="4" t="str">
        <f aca="true">IF(OR(L118="",I118="8 Closed"),"",IF(L118&lt;TODAY(),"OVERDUE",IF(L118-TODAY()&lt;=2,"Due soon","")))</f>
        <v/>
      </c>
      <c r="R118" s="4" t="str">
        <f aca="false">IF(OR(Q118="",Rules!$F$2=""),"",IF(Q118&gt;=Rules!$F$2,"Yes","No"))</f>
        <v/>
      </c>
    </row>
    <row r="119" customFormat="false" ht="15" hidden="false" customHeight="false" outlineLevel="0" collapsed="false">
      <c r="H119" s="3"/>
      <c r="J119" s="3"/>
      <c r="K119" s="4" t="str">
        <f aca="false">IF(I119="","",IFERROR(VLOOKUP(I119,Rules!$A$2:$C$9,2,FALSE()),""))</f>
        <v/>
      </c>
      <c r="L119" s="5" t="str">
        <f aca="false">IF(OR(I119="",J119=""),"",IFERROR(J119+VLOOKUP(I119,Rules!$A$2:$C$9,3,FALSE()),""))</f>
        <v/>
      </c>
      <c r="M119" s="4" t="str">
        <f aca="true">IF(OR(L119="",I119="8 Closed"),"",IF(L119&lt;TODAY(),"OVERDUE",IF(L119-TODAY()&lt;=2,"Due soon","")))</f>
        <v/>
      </c>
      <c r="R119" s="4" t="str">
        <f aca="false">IF(OR(Q119="",Rules!$F$2=""),"",IF(Q119&gt;=Rules!$F$2,"Yes","No"))</f>
        <v/>
      </c>
    </row>
    <row r="120" customFormat="false" ht="15" hidden="false" customHeight="false" outlineLevel="0" collapsed="false">
      <c r="H120" s="3"/>
      <c r="J120" s="3"/>
      <c r="K120" s="4" t="str">
        <f aca="false">IF(I120="","",IFERROR(VLOOKUP(I120,Rules!$A$2:$C$9,2,FALSE()),""))</f>
        <v/>
      </c>
      <c r="L120" s="5" t="str">
        <f aca="false">IF(OR(I120="",J120=""),"",IFERROR(J120+VLOOKUP(I120,Rules!$A$2:$C$9,3,FALSE()),""))</f>
        <v/>
      </c>
      <c r="M120" s="4" t="str">
        <f aca="true">IF(OR(L120="",I120="8 Closed"),"",IF(L120&lt;TODAY(),"OVERDUE",IF(L120-TODAY()&lt;=2,"Due soon","")))</f>
        <v/>
      </c>
      <c r="R120" s="4" t="str">
        <f aca="false">IF(OR(Q120="",Rules!$F$2=""),"",IF(Q120&gt;=Rules!$F$2,"Yes","No"))</f>
        <v/>
      </c>
    </row>
    <row r="121" customFormat="false" ht="15" hidden="false" customHeight="false" outlineLevel="0" collapsed="false">
      <c r="H121" s="3"/>
      <c r="J121" s="3"/>
      <c r="K121" s="4" t="str">
        <f aca="false">IF(I121="","",IFERROR(VLOOKUP(I121,Rules!$A$2:$C$9,2,FALSE()),""))</f>
        <v/>
      </c>
      <c r="L121" s="5" t="str">
        <f aca="false">IF(OR(I121="",J121=""),"",IFERROR(J121+VLOOKUP(I121,Rules!$A$2:$C$9,3,FALSE()),""))</f>
        <v/>
      </c>
      <c r="M121" s="4" t="str">
        <f aca="true">IF(OR(L121="",I121="8 Closed"),"",IF(L121&lt;TODAY(),"OVERDUE",IF(L121-TODAY()&lt;=2,"Due soon","")))</f>
        <v/>
      </c>
      <c r="R121" s="4" t="str">
        <f aca="false">IF(OR(Q121="",Rules!$F$2=""),"",IF(Q121&gt;=Rules!$F$2,"Yes","No"))</f>
        <v/>
      </c>
    </row>
    <row r="122" customFormat="false" ht="15" hidden="false" customHeight="false" outlineLevel="0" collapsed="false">
      <c r="H122" s="3"/>
      <c r="J122" s="3"/>
      <c r="K122" s="4" t="str">
        <f aca="false">IF(I122="","",IFERROR(VLOOKUP(I122,Rules!$A$2:$C$9,2,FALSE()),""))</f>
        <v/>
      </c>
      <c r="L122" s="5" t="str">
        <f aca="false">IF(OR(I122="",J122=""),"",IFERROR(J122+VLOOKUP(I122,Rules!$A$2:$C$9,3,FALSE()),""))</f>
        <v/>
      </c>
      <c r="M122" s="4" t="str">
        <f aca="true">IF(OR(L122="",I122="8 Closed"),"",IF(L122&lt;TODAY(),"OVERDUE",IF(L122-TODAY()&lt;=2,"Due soon","")))</f>
        <v/>
      </c>
      <c r="R122" s="4" t="str">
        <f aca="false">IF(OR(Q122="",Rules!$F$2=""),"",IF(Q122&gt;=Rules!$F$2,"Yes","No"))</f>
        <v/>
      </c>
    </row>
    <row r="123" customFormat="false" ht="15" hidden="false" customHeight="false" outlineLevel="0" collapsed="false">
      <c r="H123" s="3"/>
      <c r="J123" s="3"/>
      <c r="K123" s="4" t="str">
        <f aca="false">IF(I123="","",IFERROR(VLOOKUP(I123,Rules!$A$2:$C$9,2,FALSE()),""))</f>
        <v/>
      </c>
      <c r="L123" s="5" t="str">
        <f aca="false">IF(OR(I123="",J123=""),"",IFERROR(J123+VLOOKUP(I123,Rules!$A$2:$C$9,3,FALSE()),""))</f>
        <v/>
      </c>
      <c r="M123" s="4" t="str">
        <f aca="true">IF(OR(L123="",I123="8 Closed"),"",IF(L123&lt;TODAY(),"OVERDUE",IF(L123-TODAY()&lt;=2,"Due soon","")))</f>
        <v/>
      </c>
      <c r="R123" s="4" t="str">
        <f aca="false">IF(OR(Q123="",Rules!$F$2=""),"",IF(Q123&gt;=Rules!$F$2,"Yes","No"))</f>
        <v/>
      </c>
    </row>
    <row r="124" customFormat="false" ht="15" hidden="false" customHeight="false" outlineLevel="0" collapsed="false">
      <c r="H124" s="3"/>
      <c r="J124" s="3"/>
      <c r="K124" s="4" t="str">
        <f aca="false">IF(I124="","",IFERROR(VLOOKUP(I124,Rules!$A$2:$C$9,2,FALSE()),""))</f>
        <v/>
      </c>
      <c r="L124" s="5" t="str">
        <f aca="false">IF(OR(I124="",J124=""),"",IFERROR(J124+VLOOKUP(I124,Rules!$A$2:$C$9,3,FALSE()),""))</f>
        <v/>
      </c>
      <c r="M124" s="4" t="str">
        <f aca="true">IF(OR(L124="",I124="8 Closed"),"",IF(L124&lt;TODAY(),"OVERDUE",IF(L124-TODAY()&lt;=2,"Due soon","")))</f>
        <v/>
      </c>
      <c r="R124" s="4" t="str">
        <f aca="false">IF(OR(Q124="",Rules!$F$2=""),"",IF(Q124&gt;=Rules!$F$2,"Yes","No"))</f>
        <v/>
      </c>
    </row>
    <row r="125" customFormat="false" ht="15" hidden="false" customHeight="false" outlineLevel="0" collapsed="false">
      <c r="H125" s="3"/>
      <c r="J125" s="3"/>
      <c r="K125" s="4" t="str">
        <f aca="false">IF(I125="","",IFERROR(VLOOKUP(I125,Rules!$A$2:$C$9,2,FALSE()),""))</f>
        <v/>
      </c>
      <c r="L125" s="5" t="str">
        <f aca="false">IF(OR(I125="",J125=""),"",IFERROR(J125+VLOOKUP(I125,Rules!$A$2:$C$9,3,FALSE()),""))</f>
        <v/>
      </c>
      <c r="M125" s="4" t="str">
        <f aca="true">IF(OR(L125="",I125="8 Closed"),"",IF(L125&lt;TODAY(),"OVERDUE",IF(L125-TODAY()&lt;=2,"Due soon","")))</f>
        <v/>
      </c>
      <c r="R125" s="4" t="str">
        <f aca="false">IF(OR(Q125="",Rules!$F$2=""),"",IF(Q125&gt;=Rules!$F$2,"Yes","No"))</f>
        <v/>
      </c>
    </row>
    <row r="126" customFormat="false" ht="15" hidden="false" customHeight="false" outlineLevel="0" collapsed="false">
      <c r="H126" s="3"/>
      <c r="J126" s="3"/>
      <c r="K126" s="4" t="str">
        <f aca="false">IF(I126="","",IFERROR(VLOOKUP(I126,Rules!$A$2:$C$9,2,FALSE()),""))</f>
        <v/>
      </c>
      <c r="L126" s="5" t="str">
        <f aca="false">IF(OR(I126="",J126=""),"",IFERROR(J126+VLOOKUP(I126,Rules!$A$2:$C$9,3,FALSE()),""))</f>
        <v/>
      </c>
      <c r="M126" s="4" t="str">
        <f aca="true">IF(OR(L126="",I126="8 Closed"),"",IF(L126&lt;TODAY(),"OVERDUE",IF(L126-TODAY()&lt;=2,"Due soon","")))</f>
        <v/>
      </c>
      <c r="R126" s="4" t="str">
        <f aca="false">IF(OR(Q126="",Rules!$F$2=""),"",IF(Q126&gt;=Rules!$F$2,"Yes","No"))</f>
        <v/>
      </c>
    </row>
    <row r="127" customFormat="false" ht="15" hidden="false" customHeight="false" outlineLevel="0" collapsed="false">
      <c r="H127" s="3"/>
      <c r="J127" s="3"/>
      <c r="K127" s="4" t="str">
        <f aca="false">IF(I127="","",IFERROR(VLOOKUP(I127,Rules!$A$2:$C$9,2,FALSE()),""))</f>
        <v/>
      </c>
      <c r="L127" s="5" t="str">
        <f aca="false">IF(OR(I127="",J127=""),"",IFERROR(J127+VLOOKUP(I127,Rules!$A$2:$C$9,3,FALSE()),""))</f>
        <v/>
      </c>
      <c r="M127" s="4" t="str">
        <f aca="true">IF(OR(L127="",I127="8 Closed"),"",IF(L127&lt;TODAY(),"OVERDUE",IF(L127-TODAY()&lt;=2,"Due soon","")))</f>
        <v/>
      </c>
      <c r="R127" s="4" t="str">
        <f aca="false">IF(OR(Q127="",Rules!$F$2=""),"",IF(Q127&gt;=Rules!$F$2,"Yes","No"))</f>
        <v/>
      </c>
    </row>
    <row r="128" customFormat="false" ht="15" hidden="false" customHeight="false" outlineLevel="0" collapsed="false">
      <c r="H128" s="3"/>
      <c r="J128" s="3"/>
      <c r="K128" s="4" t="str">
        <f aca="false">IF(I128="","",IFERROR(VLOOKUP(I128,Rules!$A$2:$C$9,2,FALSE()),""))</f>
        <v/>
      </c>
      <c r="L128" s="5" t="str">
        <f aca="false">IF(OR(I128="",J128=""),"",IFERROR(J128+VLOOKUP(I128,Rules!$A$2:$C$9,3,FALSE()),""))</f>
        <v/>
      </c>
      <c r="M128" s="4" t="str">
        <f aca="true">IF(OR(L128="",I128="8 Closed"),"",IF(L128&lt;TODAY(),"OVERDUE",IF(L128-TODAY()&lt;=2,"Due soon","")))</f>
        <v/>
      </c>
      <c r="R128" s="4" t="str">
        <f aca="false">IF(OR(Q128="",Rules!$F$2=""),"",IF(Q128&gt;=Rules!$F$2,"Yes","No"))</f>
        <v/>
      </c>
    </row>
    <row r="129" customFormat="false" ht="15" hidden="false" customHeight="false" outlineLevel="0" collapsed="false">
      <c r="H129" s="3"/>
      <c r="J129" s="3"/>
      <c r="K129" s="4" t="str">
        <f aca="false">IF(I129="","",IFERROR(VLOOKUP(I129,Rules!$A$2:$C$9,2,FALSE()),""))</f>
        <v/>
      </c>
      <c r="L129" s="5" t="str">
        <f aca="false">IF(OR(I129="",J129=""),"",IFERROR(J129+VLOOKUP(I129,Rules!$A$2:$C$9,3,FALSE()),""))</f>
        <v/>
      </c>
      <c r="M129" s="4" t="str">
        <f aca="true">IF(OR(L129="",I129="8 Closed"),"",IF(L129&lt;TODAY(),"OVERDUE",IF(L129-TODAY()&lt;=2,"Due soon","")))</f>
        <v/>
      </c>
      <c r="R129" s="4" t="str">
        <f aca="false">IF(OR(Q129="",Rules!$F$2=""),"",IF(Q129&gt;=Rules!$F$2,"Yes","No"))</f>
        <v/>
      </c>
    </row>
    <row r="130" customFormat="false" ht="15" hidden="false" customHeight="false" outlineLevel="0" collapsed="false">
      <c r="H130" s="3"/>
      <c r="J130" s="3"/>
      <c r="K130" s="4" t="str">
        <f aca="false">IF(I130="","",IFERROR(VLOOKUP(I130,Rules!$A$2:$C$9,2,FALSE()),""))</f>
        <v/>
      </c>
      <c r="L130" s="5" t="str">
        <f aca="false">IF(OR(I130="",J130=""),"",IFERROR(J130+VLOOKUP(I130,Rules!$A$2:$C$9,3,FALSE()),""))</f>
        <v/>
      </c>
      <c r="M130" s="4" t="str">
        <f aca="true">IF(OR(L130="",I130="8 Closed"),"",IF(L130&lt;TODAY(),"OVERDUE",IF(L130-TODAY()&lt;=2,"Due soon","")))</f>
        <v/>
      </c>
      <c r="R130" s="4" t="str">
        <f aca="false">IF(OR(Q130="",Rules!$F$2=""),"",IF(Q130&gt;=Rules!$F$2,"Yes","No"))</f>
        <v/>
      </c>
    </row>
    <row r="131" customFormat="false" ht="15" hidden="false" customHeight="false" outlineLevel="0" collapsed="false">
      <c r="H131" s="3"/>
      <c r="J131" s="3"/>
      <c r="K131" s="4" t="str">
        <f aca="false">IF(I131="","",IFERROR(VLOOKUP(I131,Rules!$A$2:$C$9,2,FALSE()),""))</f>
        <v/>
      </c>
      <c r="L131" s="5" t="str">
        <f aca="false">IF(OR(I131="",J131=""),"",IFERROR(J131+VLOOKUP(I131,Rules!$A$2:$C$9,3,FALSE()),""))</f>
        <v/>
      </c>
      <c r="M131" s="4" t="str">
        <f aca="true">IF(OR(L131="",I131="8 Closed"),"",IF(L131&lt;TODAY(),"OVERDUE",IF(L131-TODAY()&lt;=2,"Due soon","")))</f>
        <v/>
      </c>
      <c r="R131" s="4" t="str">
        <f aca="false">IF(OR(Q131="",Rules!$F$2=""),"",IF(Q131&gt;=Rules!$F$2,"Yes","No"))</f>
        <v/>
      </c>
    </row>
    <row r="132" customFormat="false" ht="15" hidden="false" customHeight="false" outlineLevel="0" collapsed="false">
      <c r="H132" s="3"/>
      <c r="J132" s="3"/>
      <c r="K132" s="4" t="str">
        <f aca="false">IF(I132="","",IFERROR(VLOOKUP(I132,Rules!$A$2:$C$9,2,FALSE()),""))</f>
        <v/>
      </c>
      <c r="L132" s="5" t="str">
        <f aca="false">IF(OR(I132="",J132=""),"",IFERROR(J132+VLOOKUP(I132,Rules!$A$2:$C$9,3,FALSE()),""))</f>
        <v/>
      </c>
      <c r="M132" s="4" t="str">
        <f aca="true">IF(OR(L132="",I132="8 Closed"),"",IF(L132&lt;TODAY(),"OVERDUE",IF(L132-TODAY()&lt;=2,"Due soon","")))</f>
        <v/>
      </c>
      <c r="R132" s="4" t="str">
        <f aca="false">IF(OR(Q132="",Rules!$F$2=""),"",IF(Q132&gt;=Rules!$F$2,"Yes","No"))</f>
        <v/>
      </c>
    </row>
    <row r="133" customFormat="false" ht="15" hidden="false" customHeight="false" outlineLevel="0" collapsed="false">
      <c r="H133" s="3"/>
      <c r="J133" s="3"/>
      <c r="K133" s="4" t="str">
        <f aca="false">IF(I133="","",IFERROR(VLOOKUP(I133,Rules!$A$2:$C$9,2,FALSE()),""))</f>
        <v/>
      </c>
      <c r="L133" s="5" t="str">
        <f aca="false">IF(OR(I133="",J133=""),"",IFERROR(J133+VLOOKUP(I133,Rules!$A$2:$C$9,3,FALSE()),""))</f>
        <v/>
      </c>
      <c r="M133" s="4" t="str">
        <f aca="true">IF(OR(L133="",I133="8 Closed"),"",IF(L133&lt;TODAY(),"OVERDUE",IF(L133-TODAY()&lt;=2,"Due soon","")))</f>
        <v/>
      </c>
      <c r="R133" s="4" t="str">
        <f aca="false">IF(OR(Q133="",Rules!$F$2=""),"",IF(Q133&gt;=Rules!$F$2,"Yes","No"))</f>
        <v/>
      </c>
    </row>
    <row r="134" customFormat="false" ht="15" hidden="false" customHeight="false" outlineLevel="0" collapsed="false">
      <c r="H134" s="3"/>
      <c r="J134" s="3"/>
      <c r="K134" s="4" t="str">
        <f aca="false">IF(I134="","",IFERROR(VLOOKUP(I134,Rules!$A$2:$C$9,2,FALSE()),""))</f>
        <v/>
      </c>
      <c r="L134" s="5" t="str">
        <f aca="false">IF(OR(I134="",J134=""),"",IFERROR(J134+VLOOKUP(I134,Rules!$A$2:$C$9,3,FALSE()),""))</f>
        <v/>
      </c>
      <c r="M134" s="4" t="str">
        <f aca="true">IF(OR(L134="",I134="8 Closed"),"",IF(L134&lt;TODAY(),"OVERDUE",IF(L134-TODAY()&lt;=2,"Due soon","")))</f>
        <v/>
      </c>
      <c r="R134" s="4" t="str">
        <f aca="false">IF(OR(Q134="",Rules!$F$2=""),"",IF(Q134&gt;=Rules!$F$2,"Yes","No"))</f>
        <v/>
      </c>
    </row>
    <row r="135" customFormat="false" ht="15" hidden="false" customHeight="false" outlineLevel="0" collapsed="false">
      <c r="H135" s="3"/>
      <c r="J135" s="3"/>
      <c r="K135" s="4" t="str">
        <f aca="false">IF(I135="","",IFERROR(VLOOKUP(I135,Rules!$A$2:$C$9,2,FALSE()),""))</f>
        <v/>
      </c>
      <c r="L135" s="5" t="str">
        <f aca="false">IF(OR(I135="",J135=""),"",IFERROR(J135+VLOOKUP(I135,Rules!$A$2:$C$9,3,FALSE()),""))</f>
        <v/>
      </c>
      <c r="M135" s="4" t="str">
        <f aca="true">IF(OR(L135="",I135="8 Closed"),"",IF(L135&lt;TODAY(),"OVERDUE",IF(L135-TODAY()&lt;=2,"Due soon","")))</f>
        <v/>
      </c>
      <c r="R135" s="4" t="str">
        <f aca="false">IF(OR(Q135="",Rules!$F$2=""),"",IF(Q135&gt;=Rules!$F$2,"Yes","No"))</f>
        <v/>
      </c>
    </row>
    <row r="136" customFormat="false" ht="15" hidden="false" customHeight="false" outlineLevel="0" collapsed="false">
      <c r="H136" s="3"/>
      <c r="J136" s="3"/>
      <c r="K136" s="4" t="str">
        <f aca="false">IF(I136="","",IFERROR(VLOOKUP(I136,Rules!$A$2:$C$9,2,FALSE()),""))</f>
        <v/>
      </c>
      <c r="L136" s="5" t="str">
        <f aca="false">IF(OR(I136="",J136=""),"",IFERROR(J136+VLOOKUP(I136,Rules!$A$2:$C$9,3,FALSE()),""))</f>
        <v/>
      </c>
      <c r="M136" s="4" t="str">
        <f aca="true">IF(OR(L136="",I136="8 Closed"),"",IF(L136&lt;TODAY(),"OVERDUE",IF(L136-TODAY()&lt;=2,"Due soon","")))</f>
        <v/>
      </c>
      <c r="R136" s="4" t="str">
        <f aca="false">IF(OR(Q136="",Rules!$F$2=""),"",IF(Q136&gt;=Rules!$F$2,"Yes","No"))</f>
        <v/>
      </c>
    </row>
    <row r="137" customFormat="false" ht="15" hidden="false" customHeight="false" outlineLevel="0" collapsed="false">
      <c r="H137" s="3"/>
      <c r="J137" s="3"/>
      <c r="K137" s="4" t="str">
        <f aca="false">IF(I137="","",IFERROR(VLOOKUP(I137,Rules!$A$2:$C$9,2,FALSE()),""))</f>
        <v/>
      </c>
      <c r="L137" s="5" t="str">
        <f aca="false">IF(OR(I137="",J137=""),"",IFERROR(J137+VLOOKUP(I137,Rules!$A$2:$C$9,3,FALSE()),""))</f>
        <v/>
      </c>
      <c r="M137" s="4" t="str">
        <f aca="true">IF(OR(L137="",I137="8 Closed"),"",IF(L137&lt;TODAY(),"OVERDUE",IF(L137-TODAY()&lt;=2,"Due soon","")))</f>
        <v/>
      </c>
      <c r="R137" s="4" t="str">
        <f aca="false">IF(OR(Q137="",Rules!$F$2=""),"",IF(Q137&gt;=Rules!$F$2,"Yes","No"))</f>
        <v/>
      </c>
    </row>
    <row r="138" customFormat="false" ht="15" hidden="false" customHeight="false" outlineLevel="0" collapsed="false">
      <c r="H138" s="3"/>
      <c r="J138" s="3"/>
      <c r="K138" s="4" t="str">
        <f aca="false">IF(I138="","",IFERROR(VLOOKUP(I138,Rules!$A$2:$C$9,2,FALSE()),""))</f>
        <v/>
      </c>
      <c r="L138" s="5" t="str">
        <f aca="false">IF(OR(I138="",J138=""),"",IFERROR(J138+VLOOKUP(I138,Rules!$A$2:$C$9,3,FALSE()),""))</f>
        <v/>
      </c>
      <c r="M138" s="4" t="str">
        <f aca="true">IF(OR(L138="",I138="8 Closed"),"",IF(L138&lt;TODAY(),"OVERDUE",IF(L138-TODAY()&lt;=2,"Due soon","")))</f>
        <v/>
      </c>
      <c r="R138" s="4" t="str">
        <f aca="false">IF(OR(Q138="",Rules!$F$2=""),"",IF(Q138&gt;=Rules!$F$2,"Yes","No"))</f>
        <v/>
      </c>
    </row>
    <row r="139" customFormat="false" ht="15" hidden="false" customHeight="false" outlineLevel="0" collapsed="false">
      <c r="H139" s="3"/>
      <c r="J139" s="3"/>
      <c r="K139" s="4" t="str">
        <f aca="false">IF(I139="","",IFERROR(VLOOKUP(I139,Rules!$A$2:$C$9,2,FALSE()),""))</f>
        <v/>
      </c>
      <c r="L139" s="5" t="str">
        <f aca="false">IF(OR(I139="",J139=""),"",IFERROR(J139+VLOOKUP(I139,Rules!$A$2:$C$9,3,FALSE()),""))</f>
        <v/>
      </c>
      <c r="M139" s="4" t="str">
        <f aca="true">IF(OR(L139="",I139="8 Closed"),"",IF(L139&lt;TODAY(),"OVERDUE",IF(L139-TODAY()&lt;=2,"Due soon","")))</f>
        <v/>
      </c>
      <c r="R139" s="4" t="str">
        <f aca="false">IF(OR(Q139="",Rules!$F$2=""),"",IF(Q139&gt;=Rules!$F$2,"Yes","No"))</f>
        <v/>
      </c>
    </row>
    <row r="140" customFormat="false" ht="15" hidden="false" customHeight="false" outlineLevel="0" collapsed="false">
      <c r="H140" s="3"/>
      <c r="J140" s="3"/>
      <c r="K140" s="4" t="str">
        <f aca="false">IF(I140="","",IFERROR(VLOOKUP(I140,Rules!$A$2:$C$9,2,FALSE()),""))</f>
        <v/>
      </c>
      <c r="L140" s="5" t="str">
        <f aca="false">IF(OR(I140="",J140=""),"",IFERROR(J140+VLOOKUP(I140,Rules!$A$2:$C$9,3,FALSE()),""))</f>
        <v/>
      </c>
      <c r="M140" s="4" t="str">
        <f aca="true">IF(OR(L140="",I140="8 Closed"),"",IF(L140&lt;TODAY(),"OVERDUE",IF(L140-TODAY()&lt;=2,"Due soon","")))</f>
        <v/>
      </c>
      <c r="R140" s="4" t="str">
        <f aca="false">IF(OR(Q140="",Rules!$F$2=""),"",IF(Q140&gt;=Rules!$F$2,"Yes","No"))</f>
        <v/>
      </c>
    </row>
    <row r="141" customFormat="false" ht="15" hidden="false" customHeight="false" outlineLevel="0" collapsed="false">
      <c r="H141" s="3"/>
      <c r="J141" s="3"/>
      <c r="K141" s="4" t="str">
        <f aca="false">IF(I141="","",IFERROR(VLOOKUP(I141,Rules!$A$2:$C$9,2,FALSE()),""))</f>
        <v/>
      </c>
      <c r="L141" s="5" t="str">
        <f aca="false">IF(OR(I141="",J141=""),"",IFERROR(J141+VLOOKUP(I141,Rules!$A$2:$C$9,3,FALSE()),""))</f>
        <v/>
      </c>
      <c r="M141" s="4" t="str">
        <f aca="true">IF(OR(L141="",I141="8 Closed"),"",IF(L141&lt;TODAY(),"OVERDUE",IF(L141-TODAY()&lt;=2,"Due soon","")))</f>
        <v/>
      </c>
      <c r="R141" s="4" t="str">
        <f aca="false">IF(OR(Q141="",Rules!$F$2=""),"",IF(Q141&gt;=Rules!$F$2,"Yes","No"))</f>
        <v/>
      </c>
    </row>
    <row r="142" customFormat="false" ht="15" hidden="false" customHeight="false" outlineLevel="0" collapsed="false">
      <c r="H142" s="3"/>
      <c r="J142" s="3"/>
      <c r="K142" s="4" t="str">
        <f aca="false">IF(I142="","",IFERROR(VLOOKUP(I142,Rules!$A$2:$C$9,2,FALSE()),""))</f>
        <v/>
      </c>
      <c r="L142" s="5" t="str">
        <f aca="false">IF(OR(I142="",J142=""),"",IFERROR(J142+VLOOKUP(I142,Rules!$A$2:$C$9,3,FALSE()),""))</f>
        <v/>
      </c>
      <c r="M142" s="4" t="str">
        <f aca="true">IF(OR(L142="",I142="8 Closed"),"",IF(L142&lt;TODAY(),"OVERDUE",IF(L142-TODAY()&lt;=2,"Due soon","")))</f>
        <v/>
      </c>
      <c r="R142" s="4" t="str">
        <f aca="false">IF(OR(Q142="",Rules!$F$2=""),"",IF(Q142&gt;=Rules!$F$2,"Yes","No"))</f>
        <v/>
      </c>
    </row>
    <row r="143" customFormat="false" ht="15" hidden="false" customHeight="false" outlineLevel="0" collapsed="false">
      <c r="H143" s="3"/>
      <c r="J143" s="3"/>
      <c r="K143" s="4" t="str">
        <f aca="false">IF(I143="","",IFERROR(VLOOKUP(I143,Rules!$A$2:$C$9,2,FALSE()),""))</f>
        <v/>
      </c>
      <c r="L143" s="5" t="str">
        <f aca="false">IF(OR(I143="",J143=""),"",IFERROR(J143+VLOOKUP(I143,Rules!$A$2:$C$9,3,FALSE()),""))</f>
        <v/>
      </c>
      <c r="M143" s="4" t="str">
        <f aca="true">IF(OR(L143="",I143="8 Closed"),"",IF(L143&lt;TODAY(),"OVERDUE",IF(L143-TODAY()&lt;=2,"Due soon","")))</f>
        <v/>
      </c>
      <c r="R143" s="4" t="str">
        <f aca="false">IF(OR(Q143="",Rules!$F$2=""),"",IF(Q143&gt;=Rules!$F$2,"Yes","No"))</f>
        <v/>
      </c>
    </row>
    <row r="144" customFormat="false" ht="15" hidden="false" customHeight="false" outlineLevel="0" collapsed="false">
      <c r="H144" s="3"/>
      <c r="J144" s="3"/>
      <c r="K144" s="4" t="str">
        <f aca="false">IF(I144="","",IFERROR(VLOOKUP(I144,Rules!$A$2:$C$9,2,FALSE()),""))</f>
        <v/>
      </c>
      <c r="L144" s="5" t="str">
        <f aca="false">IF(OR(I144="",J144=""),"",IFERROR(J144+VLOOKUP(I144,Rules!$A$2:$C$9,3,FALSE()),""))</f>
        <v/>
      </c>
      <c r="M144" s="4" t="str">
        <f aca="true">IF(OR(L144="",I144="8 Closed"),"",IF(L144&lt;TODAY(),"OVERDUE",IF(L144-TODAY()&lt;=2,"Due soon","")))</f>
        <v/>
      </c>
      <c r="R144" s="4" t="str">
        <f aca="false">IF(OR(Q144="",Rules!$F$2=""),"",IF(Q144&gt;=Rules!$F$2,"Yes","No"))</f>
        <v/>
      </c>
    </row>
    <row r="145" customFormat="false" ht="15" hidden="false" customHeight="false" outlineLevel="0" collapsed="false">
      <c r="H145" s="3"/>
      <c r="J145" s="3"/>
      <c r="K145" s="4" t="str">
        <f aca="false">IF(I145="","",IFERROR(VLOOKUP(I145,Rules!$A$2:$C$9,2,FALSE()),""))</f>
        <v/>
      </c>
      <c r="L145" s="5" t="str">
        <f aca="false">IF(OR(I145="",J145=""),"",IFERROR(J145+VLOOKUP(I145,Rules!$A$2:$C$9,3,FALSE()),""))</f>
        <v/>
      </c>
      <c r="M145" s="4" t="str">
        <f aca="true">IF(OR(L145="",I145="8 Closed"),"",IF(L145&lt;TODAY(),"OVERDUE",IF(L145-TODAY()&lt;=2,"Due soon","")))</f>
        <v/>
      </c>
      <c r="R145" s="4" t="str">
        <f aca="false">IF(OR(Q145="",Rules!$F$2=""),"",IF(Q145&gt;=Rules!$F$2,"Yes","No"))</f>
        <v/>
      </c>
    </row>
    <row r="146" customFormat="false" ht="15" hidden="false" customHeight="false" outlineLevel="0" collapsed="false">
      <c r="H146" s="3"/>
      <c r="J146" s="3"/>
      <c r="K146" s="4" t="str">
        <f aca="false">IF(I146="","",IFERROR(VLOOKUP(I146,Rules!$A$2:$C$9,2,FALSE()),""))</f>
        <v/>
      </c>
      <c r="L146" s="5" t="str">
        <f aca="false">IF(OR(I146="",J146=""),"",IFERROR(J146+VLOOKUP(I146,Rules!$A$2:$C$9,3,FALSE()),""))</f>
        <v/>
      </c>
      <c r="M146" s="4" t="str">
        <f aca="true">IF(OR(L146="",I146="8 Closed"),"",IF(L146&lt;TODAY(),"OVERDUE",IF(L146-TODAY()&lt;=2,"Due soon","")))</f>
        <v/>
      </c>
      <c r="R146" s="4" t="str">
        <f aca="false">IF(OR(Q146="",Rules!$F$2=""),"",IF(Q146&gt;=Rules!$F$2,"Yes","No"))</f>
        <v/>
      </c>
    </row>
    <row r="147" customFormat="false" ht="15" hidden="false" customHeight="false" outlineLevel="0" collapsed="false">
      <c r="H147" s="3"/>
      <c r="J147" s="3"/>
      <c r="K147" s="4" t="str">
        <f aca="false">IF(I147="","",IFERROR(VLOOKUP(I147,Rules!$A$2:$C$9,2,FALSE()),""))</f>
        <v/>
      </c>
      <c r="L147" s="5" t="str">
        <f aca="false">IF(OR(I147="",J147=""),"",IFERROR(J147+VLOOKUP(I147,Rules!$A$2:$C$9,3,FALSE()),""))</f>
        <v/>
      </c>
      <c r="M147" s="4" t="str">
        <f aca="true">IF(OR(L147="",I147="8 Closed"),"",IF(L147&lt;TODAY(),"OVERDUE",IF(L147-TODAY()&lt;=2,"Due soon","")))</f>
        <v/>
      </c>
      <c r="R147" s="4" t="str">
        <f aca="false">IF(OR(Q147="",Rules!$F$2=""),"",IF(Q147&gt;=Rules!$F$2,"Yes","No"))</f>
        <v/>
      </c>
    </row>
    <row r="148" customFormat="false" ht="15" hidden="false" customHeight="false" outlineLevel="0" collapsed="false">
      <c r="H148" s="3"/>
      <c r="J148" s="3"/>
      <c r="K148" s="4" t="str">
        <f aca="false">IF(I148="","",IFERROR(VLOOKUP(I148,Rules!$A$2:$C$9,2,FALSE()),""))</f>
        <v/>
      </c>
      <c r="L148" s="5" t="str">
        <f aca="false">IF(OR(I148="",J148=""),"",IFERROR(J148+VLOOKUP(I148,Rules!$A$2:$C$9,3,FALSE()),""))</f>
        <v/>
      </c>
      <c r="M148" s="4" t="str">
        <f aca="true">IF(OR(L148="",I148="8 Closed"),"",IF(L148&lt;TODAY(),"OVERDUE",IF(L148-TODAY()&lt;=2,"Due soon","")))</f>
        <v/>
      </c>
      <c r="R148" s="4" t="str">
        <f aca="false">IF(OR(Q148="",Rules!$F$2=""),"",IF(Q148&gt;=Rules!$F$2,"Yes","No"))</f>
        <v/>
      </c>
    </row>
    <row r="149" customFormat="false" ht="15" hidden="false" customHeight="false" outlineLevel="0" collapsed="false">
      <c r="H149" s="3"/>
      <c r="J149" s="3"/>
      <c r="K149" s="4" t="str">
        <f aca="false">IF(I149="","",IFERROR(VLOOKUP(I149,Rules!$A$2:$C$9,2,FALSE()),""))</f>
        <v/>
      </c>
      <c r="L149" s="5" t="str">
        <f aca="false">IF(OR(I149="",J149=""),"",IFERROR(J149+VLOOKUP(I149,Rules!$A$2:$C$9,3,FALSE()),""))</f>
        <v/>
      </c>
      <c r="M149" s="4" t="str">
        <f aca="true">IF(OR(L149="",I149="8 Closed"),"",IF(L149&lt;TODAY(),"OVERDUE",IF(L149-TODAY()&lt;=2,"Due soon","")))</f>
        <v/>
      </c>
      <c r="R149" s="4" t="str">
        <f aca="false">IF(OR(Q149="",Rules!$F$2=""),"",IF(Q149&gt;=Rules!$F$2,"Yes","No"))</f>
        <v/>
      </c>
    </row>
    <row r="150" customFormat="false" ht="15" hidden="false" customHeight="false" outlineLevel="0" collapsed="false">
      <c r="H150" s="3"/>
      <c r="J150" s="3"/>
      <c r="K150" s="4" t="str">
        <f aca="false">IF(I150="","",IFERROR(VLOOKUP(I150,Rules!$A$2:$C$9,2,FALSE()),""))</f>
        <v/>
      </c>
      <c r="L150" s="5" t="str">
        <f aca="false">IF(OR(I150="",J150=""),"",IFERROR(J150+VLOOKUP(I150,Rules!$A$2:$C$9,3,FALSE()),""))</f>
        <v/>
      </c>
      <c r="M150" s="4" t="str">
        <f aca="true">IF(OR(L150="",I150="8 Closed"),"",IF(L150&lt;TODAY(),"OVERDUE",IF(L150-TODAY()&lt;=2,"Due soon","")))</f>
        <v/>
      </c>
      <c r="R150" s="4" t="str">
        <f aca="false">IF(OR(Q150="",Rules!$F$2=""),"",IF(Q150&gt;=Rules!$F$2,"Yes","No"))</f>
        <v/>
      </c>
    </row>
    <row r="151" customFormat="false" ht="15" hidden="false" customHeight="false" outlineLevel="0" collapsed="false">
      <c r="H151" s="3"/>
      <c r="J151" s="3"/>
      <c r="K151" s="4" t="str">
        <f aca="false">IF(I151="","",IFERROR(VLOOKUP(I151,Rules!$A$2:$C$9,2,FALSE()),""))</f>
        <v/>
      </c>
      <c r="L151" s="5" t="str">
        <f aca="false">IF(OR(I151="",J151=""),"",IFERROR(J151+VLOOKUP(I151,Rules!$A$2:$C$9,3,FALSE()),""))</f>
        <v/>
      </c>
      <c r="M151" s="4" t="str">
        <f aca="true">IF(OR(L151="",I151="8 Closed"),"",IF(L151&lt;TODAY(),"OVERDUE",IF(L151-TODAY()&lt;=2,"Due soon","")))</f>
        <v/>
      </c>
      <c r="R151" s="4" t="str">
        <f aca="false">IF(OR(Q151="",Rules!$F$2=""),"",IF(Q151&gt;=Rules!$F$2,"Yes","No"))</f>
        <v/>
      </c>
    </row>
    <row r="152" customFormat="false" ht="15" hidden="false" customHeight="false" outlineLevel="0" collapsed="false">
      <c r="H152" s="3"/>
      <c r="J152" s="3"/>
      <c r="K152" s="4" t="str">
        <f aca="false">IF(I152="","",IFERROR(VLOOKUP(I152,Rules!$A$2:$C$9,2,FALSE()),""))</f>
        <v/>
      </c>
      <c r="L152" s="5" t="str">
        <f aca="false">IF(OR(I152="",J152=""),"",IFERROR(J152+VLOOKUP(I152,Rules!$A$2:$C$9,3,FALSE()),""))</f>
        <v/>
      </c>
      <c r="M152" s="4" t="str">
        <f aca="true">IF(OR(L152="",I152="8 Closed"),"",IF(L152&lt;TODAY(),"OVERDUE",IF(L152-TODAY()&lt;=2,"Due soon","")))</f>
        <v/>
      </c>
      <c r="R152" s="4" t="str">
        <f aca="false">IF(OR(Q152="",Rules!$F$2=""),"",IF(Q152&gt;=Rules!$F$2,"Yes","No"))</f>
        <v/>
      </c>
    </row>
    <row r="153" customFormat="false" ht="15" hidden="false" customHeight="false" outlineLevel="0" collapsed="false">
      <c r="H153" s="3"/>
      <c r="J153" s="3"/>
      <c r="K153" s="4" t="str">
        <f aca="false">IF(I153="","",IFERROR(VLOOKUP(I153,Rules!$A$2:$C$9,2,FALSE()),""))</f>
        <v/>
      </c>
      <c r="L153" s="5" t="str">
        <f aca="false">IF(OR(I153="",J153=""),"",IFERROR(J153+VLOOKUP(I153,Rules!$A$2:$C$9,3,FALSE()),""))</f>
        <v/>
      </c>
      <c r="M153" s="4" t="str">
        <f aca="true">IF(OR(L153="",I153="8 Closed"),"",IF(L153&lt;TODAY(),"OVERDUE",IF(L153-TODAY()&lt;=2,"Due soon","")))</f>
        <v/>
      </c>
      <c r="R153" s="4" t="str">
        <f aca="false">IF(OR(Q153="",Rules!$F$2=""),"",IF(Q153&gt;=Rules!$F$2,"Yes","No"))</f>
        <v/>
      </c>
    </row>
    <row r="154" customFormat="false" ht="15" hidden="false" customHeight="false" outlineLevel="0" collapsed="false">
      <c r="H154" s="3"/>
      <c r="J154" s="3"/>
      <c r="K154" s="4" t="str">
        <f aca="false">IF(I154="","",IFERROR(VLOOKUP(I154,Rules!$A$2:$C$9,2,FALSE()),""))</f>
        <v/>
      </c>
      <c r="L154" s="5" t="str">
        <f aca="false">IF(OR(I154="",J154=""),"",IFERROR(J154+VLOOKUP(I154,Rules!$A$2:$C$9,3,FALSE()),""))</f>
        <v/>
      </c>
      <c r="M154" s="4" t="str">
        <f aca="true">IF(OR(L154="",I154="8 Closed"),"",IF(L154&lt;TODAY(),"OVERDUE",IF(L154-TODAY()&lt;=2,"Due soon","")))</f>
        <v/>
      </c>
      <c r="R154" s="4" t="str">
        <f aca="false">IF(OR(Q154="",Rules!$F$2=""),"",IF(Q154&gt;=Rules!$F$2,"Yes","No"))</f>
        <v/>
      </c>
    </row>
    <row r="155" customFormat="false" ht="15" hidden="false" customHeight="false" outlineLevel="0" collapsed="false">
      <c r="H155" s="3"/>
      <c r="J155" s="3"/>
      <c r="K155" s="4" t="str">
        <f aca="false">IF(I155="","",IFERROR(VLOOKUP(I155,Rules!$A$2:$C$9,2,FALSE()),""))</f>
        <v/>
      </c>
      <c r="L155" s="5" t="str">
        <f aca="false">IF(OR(I155="",J155=""),"",IFERROR(J155+VLOOKUP(I155,Rules!$A$2:$C$9,3,FALSE()),""))</f>
        <v/>
      </c>
      <c r="M155" s="4" t="str">
        <f aca="true">IF(OR(L155="",I155="8 Closed"),"",IF(L155&lt;TODAY(),"OVERDUE",IF(L155-TODAY()&lt;=2,"Due soon","")))</f>
        <v/>
      </c>
      <c r="R155" s="4" t="str">
        <f aca="false">IF(OR(Q155="",Rules!$F$2=""),"",IF(Q155&gt;=Rules!$F$2,"Yes","No"))</f>
        <v/>
      </c>
    </row>
    <row r="156" customFormat="false" ht="15" hidden="false" customHeight="false" outlineLevel="0" collapsed="false">
      <c r="H156" s="3"/>
      <c r="J156" s="3"/>
      <c r="K156" s="4" t="str">
        <f aca="false">IF(I156="","",IFERROR(VLOOKUP(I156,Rules!$A$2:$C$9,2,FALSE()),""))</f>
        <v/>
      </c>
      <c r="L156" s="5" t="str">
        <f aca="false">IF(OR(I156="",J156=""),"",IFERROR(J156+VLOOKUP(I156,Rules!$A$2:$C$9,3,FALSE()),""))</f>
        <v/>
      </c>
      <c r="M156" s="4" t="str">
        <f aca="true">IF(OR(L156="",I156="8 Closed"),"",IF(L156&lt;TODAY(),"OVERDUE",IF(L156-TODAY()&lt;=2,"Due soon","")))</f>
        <v/>
      </c>
      <c r="R156" s="4" t="str">
        <f aca="false">IF(OR(Q156="",Rules!$F$2=""),"",IF(Q156&gt;=Rules!$F$2,"Yes","No"))</f>
        <v/>
      </c>
    </row>
    <row r="157" customFormat="false" ht="15" hidden="false" customHeight="false" outlineLevel="0" collapsed="false">
      <c r="H157" s="3"/>
      <c r="J157" s="3"/>
      <c r="K157" s="4" t="str">
        <f aca="false">IF(I157="","",IFERROR(VLOOKUP(I157,Rules!$A$2:$C$9,2,FALSE()),""))</f>
        <v/>
      </c>
      <c r="L157" s="5" t="str">
        <f aca="false">IF(OR(I157="",J157=""),"",IFERROR(J157+VLOOKUP(I157,Rules!$A$2:$C$9,3,FALSE()),""))</f>
        <v/>
      </c>
      <c r="M157" s="4" t="str">
        <f aca="true">IF(OR(L157="",I157="8 Closed"),"",IF(L157&lt;TODAY(),"OVERDUE",IF(L157-TODAY()&lt;=2,"Due soon","")))</f>
        <v/>
      </c>
      <c r="R157" s="4" t="str">
        <f aca="false">IF(OR(Q157="",Rules!$F$2=""),"",IF(Q157&gt;=Rules!$F$2,"Yes","No"))</f>
        <v/>
      </c>
    </row>
    <row r="158" customFormat="false" ht="15" hidden="false" customHeight="false" outlineLevel="0" collapsed="false">
      <c r="H158" s="3"/>
      <c r="J158" s="3"/>
      <c r="K158" s="4" t="str">
        <f aca="false">IF(I158="","",IFERROR(VLOOKUP(I158,Rules!$A$2:$C$9,2,FALSE()),""))</f>
        <v/>
      </c>
      <c r="L158" s="5" t="str">
        <f aca="false">IF(OR(I158="",J158=""),"",IFERROR(J158+VLOOKUP(I158,Rules!$A$2:$C$9,3,FALSE()),""))</f>
        <v/>
      </c>
      <c r="M158" s="4" t="str">
        <f aca="true">IF(OR(L158="",I158="8 Closed"),"",IF(L158&lt;TODAY(),"OVERDUE",IF(L158-TODAY()&lt;=2,"Due soon","")))</f>
        <v/>
      </c>
      <c r="R158" s="4" t="str">
        <f aca="false">IF(OR(Q158="",Rules!$F$2=""),"",IF(Q158&gt;=Rules!$F$2,"Yes","No"))</f>
        <v/>
      </c>
    </row>
    <row r="159" customFormat="false" ht="15" hidden="false" customHeight="false" outlineLevel="0" collapsed="false">
      <c r="H159" s="3"/>
      <c r="J159" s="3"/>
      <c r="K159" s="4" t="str">
        <f aca="false">IF(I159="","",IFERROR(VLOOKUP(I159,Rules!$A$2:$C$9,2,FALSE()),""))</f>
        <v/>
      </c>
      <c r="L159" s="5" t="str">
        <f aca="false">IF(OR(I159="",J159=""),"",IFERROR(J159+VLOOKUP(I159,Rules!$A$2:$C$9,3,FALSE()),""))</f>
        <v/>
      </c>
      <c r="M159" s="4" t="str">
        <f aca="true">IF(OR(L159="",I159="8 Closed"),"",IF(L159&lt;TODAY(),"OVERDUE",IF(L159-TODAY()&lt;=2,"Due soon","")))</f>
        <v/>
      </c>
      <c r="R159" s="4" t="str">
        <f aca="false">IF(OR(Q159="",Rules!$F$2=""),"",IF(Q159&gt;=Rules!$F$2,"Yes","No"))</f>
        <v/>
      </c>
    </row>
    <row r="160" customFormat="false" ht="15" hidden="false" customHeight="false" outlineLevel="0" collapsed="false">
      <c r="H160" s="3"/>
      <c r="J160" s="3"/>
      <c r="K160" s="4" t="str">
        <f aca="false">IF(I160="","",IFERROR(VLOOKUP(I160,Rules!$A$2:$C$9,2,FALSE()),""))</f>
        <v/>
      </c>
      <c r="L160" s="5" t="str">
        <f aca="false">IF(OR(I160="",J160=""),"",IFERROR(J160+VLOOKUP(I160,Rules!$A$2:$C$9,3,FALSE()),""))</f>
        <v/>
      </c>
      <c r="M160" s="4" t="str">
        <f aca="true">IF(OR(L160="",I160="8 Closed"),"",IF(L160&lt;TODAY(),"OVERDUE",IF(L160-TODAY()&lt;=2,"Due soon","")))</f>
        <v/>
      </c>
      <c r="R160" s="4" t="str">
        <f aca="false">IF(OR(Q160="",Rules!$F$2=""),"",IF(Q160&gt;=Rules!$F$2,"Yes","No"))</f>
        <v/>
      </c>
    </row>
    <row r="161" customFormat="false" ht="15" hidden="false" customHeight="false" outlineLevel="0" collapsed="false">
      <c r="H161" s="3"/>
      <c r="J161" s="3"/>
      <c r="K161" s="4" t="str">
        <f aca="false">IF(I161="","",IFERROR(VLOOKUP(I161,Rules!$A$2:$C$9,2,FALSE()),""))</f>
        <v/>
      </c>
      <c r="L161" s="5" t="str">
        <f aca="false">IF(OR(I161="",J161=""),"",IFERROR(J161+VLOOKUP(I161,Rules!$A$2:$C$9,3,FALSE()),""))</f>
        <v/>
      </c>
      <c r="M161" s="4" t="str">
        <f aca="true">IF(OR(L161="",I161="8 Closed"),"",IF(L161&lt;TODAY(),"OVERDUE",IF(L161-TODAY()&lt;=2,"Due soon","")))</f>
        <v/>
      </c>
      <c r="R161" s="4" t="str">
        <f aca="false">IF(OR(Q161="",Rules!$F$2=""),"",IF(Q161&gt;=Rules!$F$2,"Yes","No"))</f>
        <v/>
      </c>
    </row>
    <row r="162" customFormat="false" ht="15" hidden="false" customHeight="false" outlineLevel="0" collapsed="false">
      <c r="H162" s="3"/>
      <c r="J162" s="3"/>
      <c r="K162" s="4" t="str">
        <f aca="false">IF(I162="","",IFERROR(VLOOKUP(I162,Rules!$A$2:$C$9,2,FALSE()),""))</f>
        <v/>
      </c>
      <c r="L162" s="5" t="str">
        <f aca="false">IF(OR(I162="",J162=""),"",IFERROR(J162+VLOOKUP(I162,Rules!$A$2:$C$9,3,FALSE()),""))</f>
        <v/>
      </c>
      <c r="M162" s="4" t="str">
        <f aca="true">IF(OR(L162="",I162="8 Closed"),"",IF(L162&lt;TODAY(),"OVERDUE",IF(L162-TODAY()&lt;=2,"Due soon","")))</f>
        <v/>
      </c>
      <c r="R162" s="4" t="str">
        <f aca="false">IF(OR(Q162="",Rules!$F$2=""),"",IF(Q162&gt;=Rules!$F$2,"Yes","No"))</f>
        <v/>
      </c>
    </row>
    <row r="163" customFormat="false" ht="15" hidden="false" customHeight="false" outlineLevel="0" collapsed="false">
      <c r="H163" s="3"/>
      <c r="J163" s="3"/>
      <c r="K163" s="4" t="str">
        <f aca="false">IF(I163="","",IFERROR(VLOOKUP(I163,Rules!$A$2:$C$9,2,FALSE()),""))</f>
        <v/>
      </c>
      <c r="L163" s="5" t="str">
        <f aca="false">IF(OR(I163="",J163=""),"",IFERROR(J163+VLOOKUP(I163,Rules!$A$2:$C$9,3,FALSE()),""))</f>
        <v/>
      </c>
      <c r="M163" s="4" t="str">
        <f aca="true">IF(OR(L163="",I163="8 Closed"),"",IF(L163&lt;TODAY(),"OVERDUE",IF(L163-TODAY()&lt;=2,"Due soon","")))</f>
        <v/>
      </c>
      <c r="R163" s="4" t="str">
        <f aca="false">IF(OR(Q163="",Rules!$F$2=""),"",IF(Q163&gt;=Rules!$F$2,"Yes","No"))</f>
        <v/>
      </c>
    </row>
    <row r="164" customFormat="false" ht="15" hidden="false" customHeight="false" outlineLevel="0" collapsed="false">
      <c r="H164" s="3"/>
      <c r="J164" s="3"/>
      <c r="K164" s="4" t="str">
        <f aca="false">IF(I164="","",IFERROR(VLOOKUP(I164,Rules!$A$2:$C$9,2,FALSE()),""))</f>
        <v/>
      </c>
      <c r="L164" s="5" t="str">
        <f aca="false">IF(OR(I164="",J164=""),"",IFERROR(J164+VLOOKUP(I164,Rules!$A$2:$C$9,3,FALSE()),""))</f>
        <v/>
      </c>
      <c r="M164" s="4" t="str">
        <f aca="true">IF(OR(L164="",I164="8 Closed"),"",IF(L164&lt;TODAY(),"OVERDUE",IF(L164-TODAY()&lt;=2,"Due soon","")))</f>
        <v/>
      </c>
      <c r="R164" s="4" t="str">
        <f aca="false">IF(OR(Q164="",Rules!$F$2=""),"",IF(Q164&gt;=Rules!$F$2,"Yes","No"))</f>
        <v/>
      </c>
    </row>
    <row r="165" customFormat="false" ht="15" hidden="false" customHeight="false" outlineLevel="0" collapsed="false">
      <c r="H165" s="3"/>
      <c r="J165" s="3"/>
      <c r="K165" s="4" t="str">
        <f aca="false">IF(I165="","",IFERROR(VLOOKUP(I165,Rules!$A$2:$C$9,2,FALSE()),""))</f>
        <v/>
      </c>
      <c r="L165" s="5" t="str">
        <f aca="false">IF(OR(I165="",J165=""),"",IFERROR(J165+VLOOKUP(I165,Rules!$A$2:$C$9,3,FALSE()),""))</f>
        <v/>
      </c>
      <c r="M165" s="4" t="str">
        <f aca="true">IF(OR(L165="",I165="8 Closed"),"",IF(L165&lt;TODAY(),"OVERDUE",IF(L165-TODAY()&lt;=2,"Due soon","")))</f>
        <v/>
      </c>
      <c r="R165" s="4" t="str">
        <f aca="false">IF(OR(Q165="",Rules!$F$2=""),"",IF(Q165&gt;=Rules!$F$2,"Yes","No"))</f>
        <v/>
      </c>
    </row>
    <row r="166" customFormat="false" ht="15" hidden="false" customHeight="false" outlineLevel="0" collapsed="false">
      <c r="H166" s="3"/>
      <c r="J166" s="3"/>
      <c r="K166" s="4" t="str">
        <f aca="false">IF(I166="","",IFERROR(VLOOKUP(I166,Rules!$A$2:$C$9,2,FALSE()),""))</f>
        <v/>
      </c>
      <c r="L166" s="5" t="str">
        <f aca="false">IF(OR(I166="",J166=""),"",IFERROR(J166+VLOOKUP(I166,Rules!$A$2:$C$9,3,FALSE()),""))</f>
        <v/>
      </c>
      <c r="M166" s="4" t="str">
        <f aca="true">IF(OR(L166="",I166="8 Closed"),"",IF(L166&lt;TODAY(),"OVERDUE",IF(L166-TODAY()&lt;=2,"Due soon","")))</f>
        <v/>
      </c>
      <c r="R166" s="4" t="str">
        <f aca="false">IF(OR(Q166="",Rules!$F$2=""),"",IF(Q166&gt;=Rules!$F$2,"Yes","No"))</f>
        <v/>
      </c>
    </row>
    <row r="167" customFormat="false" ht="15" hidden="false" customHeight="false" outlineLevel="0" collapsed="false">
      <c r="H167" s="3"/>
      <c r="J167" s="3"/>
      <c r="K167" s="4" t="str">
        <f aca="false">IF(I167="","",IFERROR(VLOOKUP(I167,Rules!$A$2:$C$9,2,FALSE()),""))</f>
        <v/>
      </c>
      <c r="L167" s="5" t="str">
        <f aca="false">IF(OR(I167="",J167=""),"",IFERROR(J167+VLOOKUP(I167,Rules!$A$2:$C$9,3,FALSE()),""))</f>
        <v/>
      </c>
      <c r="M167" s="4" t="str">
        <f aca="true">IF(OR(L167="",I167="8 Closed"),"",IF(L167&lt;TODAY(),"OVERDUE",IF(L167-TODAY()&lt;=2,"Due soon","")))</f>
        <v/>
      </c>
      <c r="R167" s="4" t="str">
        <f aca="false">IF(OR(Q167="",Rules!$F$2=""),"",IF(Q167&gt;=Rules!$F$2,"Yes","No"))</f>
        <v/>
      </c>
    </row>
    <row r="168" customFormat="false" ht="15" hidden="false" customHeight="false" outlineLevel="0" collapsed="false">
      <c r="H168" s="3"/>
      <c r="J168" s="3"/>
      <c r="K168" s="4" t="str">
        <f aca="false">IF(I168="","",IFERROR(VLOOKUP(I168,Rules!$A$2:$C$9,2,FALSE()),""))</f>
        <v/>
      </c>
      <c r="L168" s="5" t="str">
        <f aca="false">IF(OR(I168="",J168=""),"",IFERROR(J168+VLOOKUP(I168,Rules!$A$2:$C$9,3,FALSE()),""))</f>
        <v/>
      </c>
      <c r="M168" s="4" t="str">
        <f aca="true">IF(OR(L168="",I168="8 Closed"),"",IF(L168&lt;TODAY(),"OVERDUE",IF(L168-TODAY()&lt;=2,"Due soon","")))</f>
        <v/>
      </c>
      <c r="R168" s="4" t="str">
        <f aca="false">IF(OR(Q168="",Rules!$F$2=""),"",IF(Q168&gt;=Rules!$F$2,"Yes","No"))</f>
        <v/>
      </c>
    </row>
    <row r="169" customFormat="false" ht="15" hidden="false" customHeight="false" outlineLevel="0" collapsed="false">
      <c r="H169" s="3"/>
      <c r="J169" s="3"/>
      <c r="K169" s="4" t="str">
        <f aca="false">IF(I169="","",IFERROR(VLOOKUP(I169,Rules!$A$2:$C$9,2,FALSE()),""))</f>
        <v/>
      </c>
      <c r="L169" s="5" t="str">
        <f aca="false">IF(OR(I169="",J169=""),"",IFERROR(J169+VLOOKUP(I169,Rules!$A$2:$C$9,3,FALSE()),""))</f>
        <v/>
      </c>
      <c r="M169" s="4" t="str">
        <f aca="true">IF(OR(L169="",I169="8 Closed"),"",IF(L169&lt;TODAY(),"OVERDUE",IF(L169-TODAY()&lt;=2,"Due soon","")))</f>
        <v/>
      </c>
      <c r="R169" s="4" t="str">
        <f aca="false">IF(OR(Q169="",Rules!$F$2=""),"",IF(Q169&gt;=Rules!$F$2,"Yes","No"))</f>
        <v/>
      </c>
    </row>
    <row r="170" customFormat="false" ht="15" hidden="false" customHeight="false" outlineLevel="0" collapsed="false">
      <c r="H170" s="3"/>
      <c r="J170" s="3"/>
      <c r="K170" s="4" t="str">
        <f aca="false">IF(I170="","",IFERROR(VLOOKUP(I170,Rules!$A$2:$C$9,2,FALSE()),""))</f>
        <v/>
      </c>
      <c r="L170" s="5" t="str">
        <f aca="false">IF(OR(I170="",J170=""),"",IFERROR(J170+VLOOKUP(I170,Rules!$A$2:$C$9,3,FALSE()),""))</f>
        <v/>
      </c>
      <c r="M170" s="4" t="str">
        <f aca="true">IF(OR(L170="",I170="8 Closed"),"",IF(L170&lt;TODAY(),"OVERDUE",IF(L170-TODAY()&lt;=2,"Due soon","")))</f>
        <v/>
      </c>
      <c r="R170" s="4" t="str">
        <f aca="false">IF(OR(Q170="",Rules!$F$2=""),"",IF(Q170&gt;=Rules!$F$2,"Yes","No"))</f>
        <v/>
      </c>
    </row>
    <row r="171" customFormat="false" ht="15" hidden="false" customHeight="false" outlineLevel="0" collapsed="false">
      <c r="H171" s="3"/>
      <c r="J171" s="3"/>
      <c r="K171" s="4" t="str">
        <f aca="false">IF(I171="","",IFERROR(VLOOKUP(I171,Rules!$A$2:$C$9,2,FALSE()),""))</f>
        <v/>
      </c>
      <c r="L171" s="5" t="str">
        <f aca="false">IF(OR(I171="",J171=""),"",IFERROR(J171+VLOOKUP(I171,Rules!$A$2:$C$9,3,FALSE()),""))</f>
        <v/>
      </c>
      <c r="M171" s="4" t="str">
        <f aca="true">IF(OR(L171="",I171="8 Closed"),"",IF(L171&lt;TODAY(),"OVERDUE",IF(L171-TODAY()&lt;=2,"Due soon","")))</f>
        <v/>
      </c>
      <c r="R171" s="4" t="str">
        <f aca="false">IF(OR(Q171="",Rules!$F$2=""),"",IF(Q171&gt;=Rules!$F$2,"Yes","No"))</f>
        <v/>
      </c>
    </row>
    <row r="172" customFormat="false" ht="15" hidden="false" customHeight="false" outlineLevel="0" collapsed="false">
      <c r="H172" s="3"/>
      <c r="J172" s="3"/>
      <c r="K172" s="4" t="str">
        <f aca="false">IF(I172="","",IFERROR(VLOOKUP(I172,Rules!$A$2:$C$9,2,FALSE()),""))</f>
        <v/>
      </c>
      <c r="L172" s="5" t="str">
        <f aca="false">IF(OR(I172="",J172=""),"",IFERROR(J172+VLOOKUP(I172,Rules!$A$2:$C$9,3,FALSE()),""))</f>
        <v/>
      </c>
      <c r="M172" s="4" t="str">
        <f aca="true">IF(OR(L172="",I172="8 Closed"),"",IF(L172&lt;TODAY(),"OVERDUE",IF(L172-TODAY()&lt;=2,"Due soon","")))</f>
        <v/>
      </c>
      <c r="R172" s="4" t="str">
        <f aca="false">IF(OR(Q172="",Rules!$F$2=""),"",IF(Q172&gt;=Rules!$F$2,"Yes","No"))</f>
        <v/>
      </c>
    </row>
    <row r="173" customFormat="false" ht="15" hidden="false" customHeight="false" outlineLevel="0" collapsed="false">
      <c r="H173" s="3"/>
      <c r="J173" s="3"/>
      <c r="K173" s="4" t="str">
        <f aca="false">IF(I173="","",IFERROR(VLOOKUP(I173,Rules!$A$2:$C$9,2,FALSE()),""))</f>
        <v/>
      </c>
      <c r="L173" s="5" t="str">
        <f aca="false">IF(OR(I173="",J173=""),"",IFERROR(J173+VLOOKUP(I173,Rules!$A$2:$C$9,3,FALSE()),""))</f>
        <v/>
      </c>
      <c r="M173" s="4" t="str">
        <f aca="true">IF(OR(L173="",I173="8 Closed"),"",IF(L173&lt;TODAY(),"OVERDUE",IF(L173-TODAY()&lt;=2,"Due soon","")))</f>
        <v/>
      </c>
      <c r="R173" s="4" t="str">
        <f aca="false">IF(OR(Q173="",Rules!$F$2=""),"",IF(Q173&gt;=Rules!$F$2,"Yes","No"))</f>
        <v/>
      </c>
    </row>
    <row r="174" customFormat="false" ht="15" hidden="false" customHeight="false" outlineLevel="0" collapsed="false">
      <c r="H174" s="3"/>
      <c r="J174" s="3"/>
      <c r="K174" s="4" t="str">
        <f aca="false">IF(I174="","",IFERROR(VLOOKUP(I174,Rules!$A$2:$C$9,2,FALSE()),""))</f>
        <v/>
      </c>
      <c r="L174" s="5" t="str">
        <f aca="false">IF(OR(I174="",J174=""),"",IFERROR(J174+VLOOKUP(I174,Rules!$A$2:$C$9,3,FALSE()),""))</f>
        <v/>
      </c>
      <c r="M174" s="4" t="str">
        <f aca="true">IF(OR(L174="",I174="8 Closed"),"",IF(L174&lt;TODAY(),"OVERDUE",IF(L174-TODAY()&lt;=2,"Due soon","")))</f>
        <v/>
      </c>
      <c r="R174" s="4" t="str">
        <f aca="false">IF(OR(Q174="",Rules!$F$2=""),"",IF(Q174&gt;=Rules!$F$2,"Yes","No"))</f>
        <v/>
      </c>
    </row>
    <row r="175" customFormat="false" ht="15" hidden="false" customHeight="false" outlineLevel="0" collapsed="false">
      <c r="H175" s="3"/>
      <c r="J175" s="3"/>
      <c r="K175" s="4" t="str">
        <f aca="false">IF(I175="","",IFERROR(VLOOKUP(I175,Rules!$A$2:$C$9,2,FALSE()),""))</f>
        <v/>
      </c>
      <c r="L175" s="5" t="str">
        <f aca="false">IF(OR(I175="",J175=""),"",IFERROR(J175+VLOOKUP(I175,Rules!$A$2:$C$9,3,FALSE()),""))</f>
        <v/>
      </c>
      <c r="M175" s="4" t="str">
        <f aca="true">IF(OR(L175="",I175="8 Closed"),"",IF(L175&lt;TODAY(),"OVERDUE",IF(L175-TODAY()&lt;=2,"Due soon","")))</f>
        <v/>
      </c>
      <c r="R175" s="4" t="str">
        <f aca="false">IF(OR(Q175="",Rules!$F$2=""),"",IF(Q175&gt;=Rules!$F$2,"Yes","No"))</f>
        <v/>
      </c>
    </row>
    <row r="176" customFormat="false" ht="15" hidden="false" customHeight="false" outlineLevel="0" collapsed="false">
      <c r="H176" s="3"/>
      <c r="J176" s="3"/>
      <c r="K176" s="4" t="str">
        <f aca="false">IF(I176="","",IFERROR(VLOOKUP(I176,Rules!$A$2:$C$9,2,FALSE()),""))</f>
        <v/>
      </c>
      <c r="L176" s="5" t="str">
        <f aca="false">IF(OR(I176="",J176=""),"",IFERROR(J176+VLOOKUP(I176,Rules!$A$2:$C$9,3,FALSE()),""))</f>
        <v/>
      </c>
      <c r="M176" s="4" t="str">
        <f aca="true">IF(OR(L176="",I176="8 Closed"),"",IF(L176&lt;TODAY(),"OVERDUE",IF(L176-TODAY()&lt;=2,"Due soon","")))</f>
        <v/>
      </c>
      <c r="R176" s="4" t="str">
        <f aca="false">IF(OR(Q176="",Rules!$F$2=""),"",IF(Q176&gt;=Rules!$F$2,"Yes","No"))</f>
        <v/>
      </c>
    </row>
    <row r="177" customFormat="false" ht="15" hidden="false" customHeight="false" outlineLevel="0" collapsed="false">
      <c r="H177" s="3"/>
      <c r="J177" s="3"/>
      <c r="K177" s="4" t="str">
        <f aca="false">IF(I177="","",IFERROR(VLOOKUP(I177,Rules!$A$2:$C$9,2,FALSE()),""))</f>
        <v/>
      </c>
      <c r="L177" s="5" t="str">
        <f aca="false">IF(OR(I177="",J177=""),"",IFERROR(J177+VLOOKUP(I177,Rules!$A$2:$C$9,3,FALSE()),""))</f>
        <v/>
      </c>
      <c r="M177" s="4" t="str">
        <f aca="true">IF(OR(L177="",I177="8 Closed"),"",IF(L177&lt;TODAY(),"OVERDUE",IF(L177-TODAY()&lt;=2,"Due soon","")))</f>
        <v/>
      </c>
      <c r="R177" s="4" t="str">
        <f aca="false">IF(OR(Q177="",Rules!$F$2=""),"",IF(Q177&gt;=Rules!$F$2,"Yes","No"))</f>
        <v/>
      </c>
    </row>
    <row r="178" customFormat="false" ht="15" hidden="false" customHeight="false" outlineLevel="0" collapsed="false">
      <c r="H178" s="3"/>
      <c r="J178" s="3"/>
      <c r="K178" s="4" t="str">
        <f aca="false">IF(I178="","",IFERROR(VLOOKUP(I178,Rules!$A$2:$C$9,2,FALSE()),""))</f>
        <v/>
      </c>
      <c r="L178" s="5" t="str">
        <f aca="false">IF(OR(I178="",J178=""),"",IFERROR(J178+VLOOKUP(I178,Rules!$A$2:$C$9,3,FALSE()),""))</f>
        <v/>
      </c>
      <c r="M178" s="4" t="str">
        <f aca="true">IF(OR(L178="",I178="8 Closed"),"",IF(L178&lt;TODAY(),"OVERDUE",IF(L178-TODAY()&lt;=2,"Due soon","")))</f>
        <v/>
      </c>
      <c r="R178" s="4" t="str">
        <f aca="false">IF(OR(Q178="",Rules!$F$2=""),"",IF(Q178&gt;=Rules!$F$2,"Yes","No"))</f>
        <v/>
      </c>
    </row>
    <row r="179" customFormat="false" ht="15" hidden="false" customHeight="false" outlineLevel="0" collapsed="false">
      <c r="H179" s="3"/>
      <c r="J179" s="3"/>
      <c r="K179" s="4" t="str">
        <f aca="false">IF(I179="","",IFERROR(VLOOKUP(I179,Rules!$A$2:$C$9,2,FALSE()),""))</f>
        <v/>
      </c>
      <c r="L179" s="5" t="str">
        <f aca="false">IF(OR(I179="",J179=""),"",IFERROR(J179+VLOOKUP(I179,Rules!$A$2:$C$9,3,FALSE()),""))</f>
        <v/>
      </c>
      <c r="M179" s="4" t="str">
        <f aca="true">IF(OR(L179="",I179="8 Closed"),"",IF(L179&lt;TODAY(),"OVERDUE",IF(L179-TODAY()&lt;=2,"Due soon","")))</f>
        <v/>
      </c>
      <c r="R179" s="4" t="str">
        <f aca="false">IF(OR(Q179="",Rules!$F$2=""),"",IF(Q179&gt;=Rules!$F$2,"Yes","No"))</f>
        <v/>
      </c>
    </row>
    <row r="180" customFormat="false" ht="15" hidden="false" customHeight="false" outlineLevel="0" collapsed="false">
      <c r="H180" s="3"/>
      <c r="J180" s="3"/>
      <c r="K180" s="4" t="str">
        <f aca="false">IF(I180="","",IFERROR(VLOOKUP(I180,Rules!$A$2:$C$9,2,FALSE()),""))</f>
        <v/>
      </c>
      <c r="L180" s="5" t="str">
        <f aca="false">IF(OR(I180="",J180=""),"",IFERROR(J180+VLOOKUP(I180,Rules!$A$2:$C$9,3,FALSE()),""))</f>
        <v/>
      </c>
      <c r="M180" s="4" t="str">
        <f aca="true">IF(OR(L180="",I180="8 Closed"),"",IF(L180&lt;TODAY(),"OVERDUE",IF(L180-TODAY()&lt;=2,"Due soon","")))</f>
        <v/>
      </c>
      <c r="R180" s="4" t="str">
        <f aca="false">IF(OR(Q180="",Rules!$F$2=""),"",IF(Q180&gt;=Rules!$F$2,"Yes","No"))</f>
        <v/>
      </c>
    </row>
    <row r="181" customFormat="false" ht="15" hidden="false" customHeight="false" outlineLevel="0" collapsed="false">
      <c r="H181" s="3"/>
      <c r="J181" s="3"/>
      <c r="K181" s="4" t="str">
        <f aca="false">IF(I181="","",IFERROR(VLOOKUP(I181,Rules!$A$2:$C$9,2,FALSE()),""))</f>
        <v/>
      </c>
      <c r="L181" s="5" t="str">
        <f aca="false">IF(OR(I181="",J181=""),"",IFERROR(J181+VLOOKUP(I181,Rules!$A$2:$C$9,3,FALSE()),""))</f>
        <v/>
      </c>
      <c r="M181" s="4" t="str">
        <f aca="true">IF(OR(L181="",I181="8 Closed"),"",IF(L181&lt;TODAY(),"OVERDUE",IF(L181-TODAY()&lt;=2,"Due soon","")))</f>
        <v/>
      </c>
      <c r="R181" s="4" t="str">
        <f aca="false">IF(OR(Q181="",Rules!$F$2=""),"",IF(Q181&gt;=Rules!$F$2,"Yes","No"))</f>
        <v/>
      </c>
    </row>
    <row r="182" customFormat="false" ht="15" hidden="false" customHeight="false" outlineLevel="0" collapsed="false">
      <c r="H182" s="3"/>
      <c r="J182" s="3"/>
      <c r="K182" s="4" t="str">
        <f aca="false">IF(I182="","",IFERROR(VLOOKUP(I182,Rules!$A$2:$C$9,2,FALSE()),""))</f>
        <v/>
      </c>
      <c r="L182" s="5" t="str">
        <f aca="false">IF(OR(I182="",J182=""),"",IFERROR(J182+VLOOKUP(I182,Rules!$A$2:$C$9,3,FALSE()),""))</f>
        <v/>
      </c>
      <c r="M182" s="4" t="str">
        <f aca="true">IF(OR(L182="",I182="8 Closed"),"",IF(L182&lt;TODAY(),"OVERDUE",IF(L182-TODAY()&lt;=2,"Due soon","")))</f>
        <v/>
      </c>
      <c r="R182" s="4" t="str">
        <f aca="false">IF(OR(Q182="",Rules!$F$2=""),"",IF(Q182&gt;=Rules!$F$2,"Yes","No"))</f>
        <v/>
      </c>
    </row>
    <row r="183" customFormat="false" ht="15" hidden="false" customHeight="false" outlineLevel="0" collapsed="false">
      <c r="H183" s="3"/>
      <c r="J183" s="3"/>
      <c r="K183" s="4" t="str">
        <f aca="false">IF(I183="","",IFERROR(VLOOKUP(I183,Rules!$A$2:$C$9,2,FALSE()),""))</f>
        <v/>
      </c>
      <c r="L183" s="5" t="str">
        <f aca="false">IF(OR(I183="",J183=""),"",IFERROR(J183+VLOOKUP(I183,Rules!$A$2:$C$9,3,FALSE()),""))</f>
        <v/>
      </c>
      <c r="M183" s="4" t="str">
        <f aca="true">IF(OR(L183="",I183="8 Closed"),"",IF(L183&lt;TODAY(),"OVERDUE",IF(L183-TODAY()&lt;=2,"Due soon","")))</f>
        <v/>
      </c>
      <c r="R183" s="4" t="str">
        <f aca="false">IF(OR(Q183="",Rules!$F$2=""),"",IF(Q183&gt;=Rules!$F$2,"Yes","No"))</f>
        <v/>
      </c>
    </row>
    <row r="184" customFormat="false" ht="15" hidden="false" customHeight="false" outlineLevel="0" collapsed="false">
      <c r="H184" s="3"/>
      <c r="J184" s="3"/>
      <c r="K184" s="4" t="str">
        <f aca="false">IF(I184="","",IFERROR(VLOOKUP(I184,Rules!$A$2:$C$9,2,FALSE()),""))</f>
        <v/>
      </c>
      <c r="L184" s="5" t="str">
        <f aca="false">IF(OR(I184="",J184=""),"",IFERROR(J184+VLOOKUP(I184,Rules!$A$2:$C$9,3,FALSE()),""))</f>
        <v/>
      </c>
      <c r="M184" s="4" t="str">
        <f aca="true">IF(OR(L184="",I184="8 Closed"),"",IF(L184&lt;TODAY(),"OVERDUE",IF(L184-TODAY()&lt;=2,"Due soon","")))</f>
        <v/>
      </c>
      <c r="R184" s="4" t="str">
        <f aca="false">IF(OR(Q184="",Rules!$F$2=""),"",IF(Q184&gt;=Rules!$F$2,"Yes","No"))</f>
        <v/>
      </c>
    </row>
    <row r="185" customFormat="false" ht="15" hidden="false" customHeight="false" outlineLevel="0" collapsed="false">
      <c r="H185" s="3"/>
      <c r="J185" s="3"/>
      <c r="K185" s="4" t="str">
        <f aca="false">IF(I185="","",IFERROR(VLOOKUP(I185,Rules!$A$2:$C$9,2,FALSE()),""))</f>
        <v/>
      </c>
      <c r="L185" s="5" t="str">
        <f aca="false">IF(OR(I185="",J185=""),"",IFERROR(J185+VLOOKUP(I185,Rules!$A$2:$C$9,3,FALSE()),""))</f>
        <v/>
      </c>
      <c r="M185" s="4" t="str">
        <f aca="true">IF(OR(L185="",I185="8 Closed"),"",IF(L185&lt;TODAY(),"OVERDUE",IF(L185-TODAY()&lt;=2,"Due soon","")))</f>
        <v/>
      </c>
      <c r="R185" s="4" t="str">
        <f aca="false">IF(OR(Q185="",Rules!$F$2=""),"",IF(Q185&gt;=Rules!$F$2,"Yes","No"))</f>
        <v/>
      </c>
    </row>
    <row r="186" customFormat="false" ht="15" hidden="false" customHeight="false" outlineLevel="0" collapsed="false">
      <c r="H186" s="3"/>
      <c r="J186" s="3"/>
      <c r="K186" s="4" t="str">
        <f aca="false">IF(I186="","",IFERROR(VLOOKUP(I186,Rules!$A$2:$C$9,2,FALSE()),""))</f>
        <v/>
      </c>
      <c r="L186" s="5" t="str">
        <f aca="false">IF(OR(I186="",J186=""),"",IFERROR(J186+VLOOKUP(I186,Rules!$A$2:$C$9,3,FALSE()),""))</f>
        <v/>
      </c>
      <c r="M186" s="4" t="str">
        <f aca="true">IF(OR(L186="",I186="8 Closed"),"",IF(L186&lt;TODAY(),"OVERDUE",IF(L186-TODAY()&lt;=2,"Due soon","")))</f>
        <v/>
      </c>
      <c r="R186" s="4" t="str">
        <f aca="false">IF(OR(Q186="",Rules!$F$2=""),"",IF(Q186&gt;=Rules!$F$2,"Yes","No"))</f>
        <v/>
      </c>
    </row>
    <row r="187" customFormat="false" ht="15" hidden="false" customHeight="false" outlineLevel="0" collapsed="false">
      <c r="H187" s="3"/>
      <c r="J187" s="3"/>
      <c r="K187" s="4" t="str">
        <f aca="false">IF(I187="","",IFERROR(VLOOKUP(I187,Rules!$A$2:$C$9,2,FALSE()),""))</f>
        <v/>
      </c>
      <c r="L187" s="5" t="str">
        <f aca="false">IF(OR(I187="",J187=""),"",IFERROR(J187+VLOOKUP(I187,Rules!$A$2:$C$9,3,FALSE()),""))</f>
        <v/>
      </c>
      <c r="M187" s="4" t="str">
        <f aca="true">IF(OR(L187="",I187="8 Closed"),"",IF(L187&lt;TODAY(),"OVERDUE",IF(L187-TODAY()&lt;=2,"Due soon","")))</f>
        <v/>
      </c>
      <c r="R187" s="4" t="str">
        <f aca="false">IF(OR(Q187="",Rules!$F$2=""),"",IF(Q187&gt;=Rules!$F$2,"Yes","No"))</f>
        <v/>
      </c>
    </row>
    <row r="188" customFormat="false" ht="15" hidden="false" customHeight="false" outlineLevel="0" collapsed="false">
      <c r="H188" s="3"/>
      <c r="J188" s="3"/>
      <c r="K188" s="4" t="str">
        <f aca="false">IF(I188="","",IFERROR(VLOOKUP(I188,Rules!$A$2:$C$9,2,FALSE()),""))</f>
        <v/>
      </c>
      <c r="L188" s="5" t="str">
        <f aca="false">IF(OR(I188="",J188=""),"",IFERROR(J188+VLOOKUP(I188,Rules!$A$2:$C$9,3,FALSE()),""))</f>
        <v/>
      </c>
      <c r="M188" s="4" t="str">
        <f aca="true">IF(OR(L188="",I188="8 Closed"),"",IF(L188&lt;TODAY(),"OVERDUE",IF(L188-TODAY()&lt;=2,"Due soon","")))</f>
        <v/>
      </c>
      <c r="R188" s="4" t="str">
        <f aca="false">IF(OR(Q188="",Rules!$F$2=""),"",IF(Q188&gt;=Rules!$F$2,"Yes","No"))</f>
        <v/>
      </c>
    </row>
    <row r="189" customFormat="false" ht="15" hidden="false" customHeight="false" outlineLevel="0" collapsed="false">
      <c r="H189" s="3"/>
      <c r="J189" s="3"/>
      <c r="K189" s="4" t="str">
        <f aca="false">IF(I189="","",IFERROR(VLOOKUP(I189,Rules!$A$2:$C$9,2,FALSE()),""))</f>
        <v/>
      </c>
      <c r="L189" s="5" t="str">
        <f aca="false">IF(OR(I189="",J189=""),"",IFERROR(J189+VLOOKUP(I189,Rules!$A$2:$C$9,3,FALSE()),""))</f>
        <v/>
      </c>
      <c r="M189" s="4" t="str">
        <f aca="true">IF(OR(L189="",I189="8 Closed"),"",IF(L189&lt;TODAY(),"OVERDUE",IF(L189-TODAY()&lt;=2,"Due soon","")))</f>
        <v/>
      </c>
      <c r="R189" s="4" t="str">
        <f aca="false">IF(OR(Q189="",Rules!$F$2=""),"",IF(Q189&gt;=Rules!$F$2,"Yes","No"))</f>
        <v/>
      </c>
    </row>
    <row r="190" customFormat="false" ht="15" hidden="false" customHeight="false" outlineLevel="0" collapsed="false">
      <c r="H190" s="3"/>
      <c r="J190" s="3"/>
      <c r="K190" s="4" t="str">
        <f aca="false">IF(I190="","",IFERROR(VLOOKUP(I190,Rules!$A$2:$C$9,2,FALSE()),""))</f>
        <v/>
      </c>
      <c r="L190" s="5" t="str">
        <f aca="false">IF(OR(I190="",J190=""),"",IFERROR(J190+VLOOKUP(I190,Rules!$A$2:$C$9,3,FALSE()),""))</f>
        <v/>
      </c>
      <c r="M190" s="4" t="str">
        <f aca="true">IF(OR(L190="",I190="8 Closed"),"",IF(L190&lt;TODAY(),"OVERDUE",IF(L190-TODAY()&lt;=2,"Due soon","")))</f>
        <v/>
      </c>
      <c r="R190" s="4" t="str">
        <f aca="false">IF(OR(Q190="",Rules!$F$2=""),"",IF(Q190&gt;=Rules!$F$2,"Yes","No"))</f>
        <v/>
      </c>
    </row>
    <row r="191" customFormat="false" ht="15" hidden="false" customHeight="false" outlineLevel="0" collapsed="false">
      <c r="H191" s="3"/>
      <c r="J191" s="3"/>
      <c r="K191" s="4" t="str">
        <f aca="false">IF(I191="","",IFERROR(VLOOKUP(I191,Rules!$A$2:$C$9,2,FALSE()),""))</f>
        <v/>
      </c>
      <c r="L191" s="5" t="str">
        <f aca="false">IF(OR(I191="",J191=""),"",IFERROR(J191+VLOOKUP(I191,Rules!$A$2:$C$9,3,FALSE()),""))</f>
        <v/>
      </c>
      <c r="M191" s="4" t="str">
        <f aca="true">IF(OR(L191="",I191="8 Closed"),"",IF(L191&lt;TODAY(),"OVERDUE",IF(L191-TODAY()&lt;=2,"Due soon","")))</f>
        <v/>
      </c>
      <c r="R191" s="4" t="str">
        <f aca="false">IF(OR(Q191="",Rules!$F$2=""),"",IF(Q191&gt;=Rules!$F$2,"Yes","No"))</f>
        <v/>
      </c>
    </row>
    <row r="192" customFormat="false" ht="15" hidden="false" customHeight="false" outlineLevel="0" collapsed="false">
      <c r="H192" s="3"/>
      <c r="J192" s="3"/>
      <c r="K192" s="4" t="str">
        <f aca="false">IF(I192="","",IFERROR(VLOOKUP(I192,Rules!$A$2:$C$9,2,FALSE()),""))</f>
        <v/>
      </c>
      <c r="L192" s="5" t="str">
        <f aca="false">IF(OR(I192="",J192=""),"",IFERROR(J192+VLOOKUP(I192,Rules!$A$2:$C$9,3,FALSE()),""))</f>
        <v/>
      </c>
      <c r="M192" s="4" t="str">
        <f aca="true">IF(OR(L192="",I192="8 Closed"),"",IF(L192&lt;TODAY(),"OVERDUE",IF(L192-TODAY()&lt;=2,"Due soon","")))</f>
        <v/>
      </c>
      <c r="R192" s="4" t="str">
        <f aca="false">IF(OR(Q192="",Rules!$F$2=""),"",IF(Q192&gt;=Rules!$F$2,"Yes","No"))</f>
        <v/>
      </c>
    </row>
    <row r="193" customFormat="false" ht="15" hidden="false" customHeight="false" outlineLevel="0" collapsed="false">
      <c r="H193" s="3"/>
      <c r="J193" s="3"/>
      <c r="K193" s="4" t="str">
        <f aca="false">IF(I193="","",IFERROR(VLOOKUP(I193,Rules!$A$2:$C$9,2,FALSE()),""))</f>
        <v/>
      </c>
      <c r="L193" s="5" t="str">
        <f aca="false">IF(OR(I193="",J193=""),"",IFERROR(J193+VLOOKUP(I193,Rules!$A$2:$C$9,3,FALSE()),""))</f>
        <v/>
      </c>
      <c r="M193" s="4" t="str">
        <f aca="true">IF(OR(L193="",I193="8 Closed"),"",IF(L193&lt;TODAY(),"OVERDUE",IF(L193-TODAY()&lt;=2,"Due soon","")))</f>
        <v/>
      </c>
      <c r="R193" s="4" t="str">
        <f aca="false">IF(OR(Q193="",Rules!$F$2=""),"",IF(Q193&gt;=Rules!$F$2,"Yes","No"))</f>
        <v/>
      </c>
    </row>
    <row r="194" customFormat="false" ht="15" hidden="false" customHeight="false" outlineLevel="0" collapsed="false">
      <c r="H194" s="3"/>
      <c r="J194" s="3"/>
      <c r="K194" s="4" t="str">
        <f aca="false">IF(I194="","",IFERROR(VLOOKUP(I194,Rules!$A$2:$C$9,2,FALSE()),""))</f>
        <v/>
      </c>
      <c r="L194" s="5" t="str">
        <f aca="false">IF(OR(I194="",J194=""),"",IFERROR(J194+VLOOKUP(I194,Rules!$A$2:$C$9,3,FALSE()),""))</f>
        <v/>
      </c>
      <c r="M194" s="4" t="str">
        <f aca="true">IF(OR(L194="",I194="8 Closed"),"",IF(L194&lt;TODAY(),"OVERDUE",IF(L194-TODAY()&lt;=2,"Due soon","")))</f>
        <v/>
      </c>
      <c r="R194" s="4" t="str">
        <f aca="false">IF(OR(Q194="",Rules!$F$2=""),"",IF(Q194&gt;=Rules!$F$2,"Yes","No"))</f>
        <v/>
      </c>
    </row>
    <row r="195" customFormat="false" ht="15" hidden="false" customHeight="false" outlineLevel="0" collapsed="false">
      <c r="H195" s="3"/>
      <c r="J195" s="3"/>
      <c r="K195" s="4" t="str">
        <f aca="false">IF(I195="","",IFERROR(VLOOKUP(I195,Rules!$A$2:$C$9,2,FALSE()),""))</f>
        <v/>
      </c>
      <c r="L195" s="5" t="str">
        <f aca="false">IF(OR(I195="",J195=""),"",IFERROR(J195+VLOOKUP(I195,Rules!$A$2:$C$9,3,FALSE()),""))</f>
        <v/>
      </c>
      <c r="M195" s="4" t="str">
        <f aca="true">IF(OR(L195="",I195="8 Closed"),"",IF(L195&lt;TODAY(),"OVERDUE",IF(L195-TODAY()&lt;=2,"Due soon","")))</f>
        <v/>
      </c>
      <c r="R195" s="4" t="str">
        <f aca="false">IF(OR(Q195="",Rules!$F$2=""),"",IF(Q195&gt;=Rules!$F$2,"Yes","No"))</f>
        <v/>
      </c>
    </row>
    <row r="196" customFormat="false" ht="15" hidden="false" customHeight="false" outlineLevel="0" collapsed="false">
      <c r="H196" s="3"/>
      <c r="J196" s="3"/>
      <c r="K196" s="4" t="str">
        <f aca="false">IF(I196="","",IFERROR(VLOOKUP(I196,Rules!$A$2:$C$9,2,FALSE()),""))</f>
        <v/>
      </c>
      <c r="L196" s="5" t="str">
        <f aca="false">IF(OR(I196="",J196=""),"",IFERROR(J196+VLOOKUP(I196,Rules!$A$2:$C$9,3,FALSE()),""))</f>
        <v/>
      </c>
      <c r="M196" s="4" t="str">
        <f aca="true">IF(OR(L196="",I196="8 Closed"),"",IF(L196&lt;TODAY(),"OVERDUE",IF(L196-TODAY()&lt;=2,"Due soon","")))</f>
        <v/>
      </c>
      <c r="R196" s="4" t="str">
        <f aca="false">IF(OR(Q196="",Rules!$F$2=""),"",IF(Q196&gt;=Rules!$F$2,"Yes","No"))</f>
        <v/>
      </c>
    </row>
    <row r="197" customFormat="false" ht="15" hidden="false" customHeight="false" outlineLevel="0" collapsed="false">
      <c r="H197" s="3"/>
      <c r="J197" s="3"/>
      <c r="K197" s="4" t="str">
        <f aca="false">IF(I197="","",IFERROR(VLOOKUP(I197,Rules!$A$2:$C$9,2,FALSE()),""))</f>
        <v/>
      </c>
      <c r="L197" s="5" t="str">
        <f aca="false">IF(OR(I197="",J197=""),"",IFERROR(J197+VLOOKUP(I197,Rules!$A$2:$C$9,3,FALSE()),""))</f>
        <v/>
      </c>
      <c r="M197" s="4" t="str">
        <f aca="true">IF(OR(L197="",I197="8 Closed"),"",IF(L197&lt;TODAY(),"OVERDUE",IF(L197-TODAY()&lt;=2,"Due soon","")))</f>
        <v/>
      </c>
      <c r="R197" s="4" t="str">
        <f aca="false">IF(OR(Q197="",Rules!$F$2=""),"",IF(Q197&gt;=Rules!$F$2,"Yes","No"))</f>
        <v/>
      </c>
    </row>
    <row r="198" customFormat="false" ht="15" hidden="false" customHeight="false" outlineLevel="0" collapsed="false">
      <c r="H198" s="3"/>
      <c r="J198" s="3"/>
      <c r="K198" s="4" t="str">
        <f aca="false">IF(I198="","",IFERROR(VLOOKUP(I198,Rules!$A$2:$C$9,2,FALSE()),""))</f>
        <v/>
      </c>
      <c r="L198" s="5" t="str">
        <f aca="false">IF(OR(I198="",J198=""),"",IFERROR(J198+VLOOKUP(I198,Rules!$A$2:$C$9,3,FALSE()),""))</f>
        <v/>
      </c>
      <c r="M198" s="4" t="str">
        <f aca="true">IF(OR(L198="",I198="8 Closed"),"",IF(L198&lt;TODAY(),"OVERDUE",IF(L198-TODAY()&lt;=2,"Due soon","")))</f>
        <v/>
      </c>
      <c r="R198" s="4" t="str">
        <f aca="false">IF(OR(Q198="",Rules!$F$2=""),"",IF(Q198&gt;=Rules!$F$2,"Yes","No"))</f>
        <v/>
      </c>
    </row>
    <row r="199" customFormat="false" ht="15" hidden="false" customHeight="false" outlineLevel="0" collapsed="false">
      <c r="H199" s="3"/>
      <c r="J199" s="3"/>
      <c r="K199" s="4" t="str">
        <f aca="false">IF(I199="","",IFERROR(VLOOKUP(I199,Rules!$A$2:$C$9,2,FALSE()),""))</f>
        <v/>
      </c>
      <c r="L199" s="5" t="str">
        <f aca="false">IF(OR(I199="",J199=""),"",IFERROR(J199+VLOOKUP(I199,Rules!$A$2:$C$9,3,FALSE()),""))</f>
        <v/>
      </c>
      <c r="M199" s="4" t="str">
        <f aca="true">IF(OR(L199="",I199="8 Closed"),"",IF(L199&lt;TODAY(),"OVERDUE",IF(L199-TODAY()&lt;=2,"Due soon","")))</f>
        <v/>
      </c>
      <c r="R199" s="4" t="str">
        <f aca="false">IF(OR(Q199="",Rules!$F$2=""),"",IF(Q199&gt;=Rules!$F$2,"Yes","No"))</f>
        <v/>
      </c>
    </row>
    <row r="200" customFormat="false" ht="15" hidden="false" customHeight="false" outlineLevel="0" collapsed="false">
      <c r="H200" s="3"/>
      <c r="J200" s="3"/>
      <c r="K200" s="4" t="str">
        <f aca="false">IF(I200="","",IFERROR(VLOOKUP(I200,Rules!$A$2:$C$9,2,FALSE()),""))</f>
        <v/>
      </c>
      <c r="L200" s="5" t="str">
        <f aca="false">IF(OR(I200="",J200=""),"",IFERROR(J200+VLOOKUP(I200,Rules!$A$2:$C$9,3,FALSE()),""))</f>
        <v/>
      </c>
      <c r="M200" s="4" t="str">
        <f aca="true">IF(OR(L200="",I200="8 Closed"),"",IF(L200&lt;TODAY(),"OVERDUE",IF(L200-TODAY()&lt;=2,"Due soon","")))</f>
        <v/>
      </c>
      <c r="R200" s="4" t="str">
        <f aca="false">IF(OR(Q200="",Rules!$F$2=""),"",IF(Q200&gt;=Rules!$F$2,"Yes","No"))</f>
        <v/>
      </c>
    </row>
    <row r="201" customFormat="false" ht="15" hidden="false" customHeight="false" outlineLevel="0" collapsed="false">
      <c r="H201" s="3"/>
      <c r="J201" s="3"/>
      <c r="K201" s="4" t="str">
        <f aca="false">IF(I201="","",IFERROR(VLOOKUP(I201,Rules!$A$2:$C$9,2,FALSE()),""))</f>
        <v/>
      </c>
      <c r="L201" s="5" t="str">
        <f aca="false">IF(OR(I201="",J201=""),"",IFERROR(J201+VLOOKUP(I201,Rules!$A$2:$C$9,3,FALSE()),""))</f>
        <v/>
      </c>
      <c r="M201" s="4" t="str">
        <f aca="true">IF(OR(L201="",I201="8 Closed"),"",IF(L201&lt;TODAY(),"OVERDUE",IF(L201-TODAY()&lt;=2,"Due soon","")))</f>
        <v/>
      </c>
      <c r="R201" s="4" t="str">
        <f aca="false">IF(OR(Q201="",Rules!$F$2=""),"",IF(Q201&gt;=Rules!$F$2,"Yes","No"))</f>
        <v/>
      </c>
    </row>
    <row r="202" customFormat="false" ht="15" hidden="false" customHeight="false" outlineLevel="0" collapsed="false">
      <c r="H202" s="3"/>
      <c r="J202" s="3"/>
      <c r="K202" s="4" t="str">
        <f aca="false">IF(I202="","",IFERROR(VLOOKUP(I202,Rules!$A$2:$C$9,2,FALSE()),""))</f>
        <v/>
      </c>
      <c r="L202" s="5" t="str">
        <f aca="false">IF(OR(I202="",J202=""),"",IFERROR(J202+VLOOKUP(I202,Rules!$A$2:$C$9,3,FALSE()),""))</f>
        <v/>
      </c>
      <c r="M202" s="4" t="str">
        <f aca="true">IF(OR(L202="",I202="8 Closed"),"",IF(L202&lt;TODAY(),"OVERDUE",IF(L202-TODAY()&lt;=2,"Due soon","")))</f>
        <v/>
      </c>
      <c r="R202" s="4" t="str">
        <f aca="false">IF(OR(Q202="",Rules!$F$2=""),"",IF(Q202&gt;=Rules!$F$2,"Yes","No"))</f>
        <v/>
      </c>
    </row>
    <row r="203" customFormat="false" ht="15" hidden="false" customHeight="false" outlineLevel="0" collapsed="false">
      <c r="H203" s="3"/>
      <c r="J203" s="3"/>
      <c r="K203" s="4" t="str">
        <f aca="false">IF(I203="","",IFERROR(VLOOKUP(I203,Rules!$A$2:$C$9,2,FALSE()),""))</f>
        <v/>
      </c>
      <c r="L203" s="5" t="str">
        <f aca="false">IF(OR(I203="",J203=""),"",IFERROR(J203+VLOOKUP(I203,Rules!$A$2:$C$9,3,FALSE()),""))</f>
        <v/>
      </c>
      <c r="M203" s="4" t="str">
        <f aca="true">IF(OR(L203="",I203="8 Closed"),"",IF(L203&lt;TODAY(),"OVERDUE",IF(L203-TODAY()&lt;=2,"Due soon","")))</f>
        <v/>
      </c>
      <c r="R203" s="4" t="str">
        <f aca="false">IF(OR(Q203="",Rules!$F$2=""),"",IF(Q203&gt;=Rules!$F$2,"Yes","No"))</f>
        <v/>
      </c>
    </row>
    <row r="204" customFormat="false" ht="15" hidden="false" customHeight="false" outlineLevel="0" collapsed="false">
      <c r="H204" s="3"/>
      <c r="J204" s="3"/>
      <c r="K204" s="4" t="str">
        <f aca="false">IF(I204="","",IFERROR(VLOOKUP(I204,Rules!$A$2:$C$9,2,FALSE()),""))</f>
        <v/>
      </c>
      <c r="L204" s="5" t="str">
        <f aca="false">IF(OR(I204="",J204=""),"",IFERROR(J204+VLOOKUP(I204,Rules!$A$2:$C$9,3,FALSE()),""))</f>
        <v/>
      </c>
      <c r="M204" s="4" t="str">
        <f aca="true">IF(OR(L204="",I204="8 Closed"),"",IF(L204&lt;TODAY(),"OVERDUE",IF(L204-TODAY()&lt;=2,"Due soon","")))</f>
        <v/>
      </c>
      <c r="R204" s="4" t="str">
        <f aca="false">IF(OR(Q204="",Rules!$F$2=""),"",IF(Q204&gt;=Rules!$F$2,"Yes","No"))</f>
        <v/>
      </c>
    </row>
    <row r="205" customFormat="false" ht="15" hidden="false" customHeight="false" outlineLevel="0" collapsed="false">
      <c r="H205" s="3"/>
      <c r="J205" s="3"/>
      <c r="K205" s="4" t="str">
        <f aca="false">IF(I205="","",IFERROR(VLOOKUP(I205,Rules!$A$2:$C$9,2,FALSE()),""))</f>
        <v/>
      </c>
      <c r="L205" s="5" t="str">
        <f aca="false">IF(OR(I205="",J205=""),"",IFERROR(J205+VLOOKUP(I205,Rules!$A$2:$C$9,3,FALSE()),""))</f>
        <v/>
      </c>
      <c r="M205" s="4" t="str">
        <f aca="true">IF(OR(L205="",I205="8 Closed"),"",IF(L205&lt;TODAY(),"OVERDUE",IF(L205-TODAY()&lt;=2,"Due soon","")))</f>
        <v/>
      </c>
      <c r="R205" s="4" t="str">
        <f aca="false">IF(OR(Q205="",Rules!$F$2=""),"",IF(Q205&gt;=Rules!$F$2,"Yes","No"))</f>
        <v/>
      </c>
    </row>
    <row r="206" customFormat="false" ht="15" hidden="false" customHeight="false" outlineLevel="0" collapsed="false">
      <c r="H206" s="3"/>
      <c r="J206" s="3"/>
      <c r="K206" s="4" t="str">
        <f aca="false">IF(I206="","",IFERROR(VLOOKUP(I206,Rules!$A$2:$C$9,2,FALSE()),""))</f>
        <v/>
      </c>
      <c r="L206" s="5" t="str">
        <f aca="false">IF(OR(I206="",J206=""),"",IFERROR(J206+VLOOKUP(I206,Rules!$A$2:$C$9,3,FALSE()),""))</f>
        <v/>
      </c>
      <c r="M206" s="4" t="str">
        <f aca="true">IF(OR(L206="",I206="8 Closed"),"",IF(L206&lt;TODAY(),"OVERDUE",IF(L206-TODAY()&lt;=2,"Due soon","")))</f>
        <v/>
      </c>
      <c r="R206" s="4" t="str">
        <f aca="false">IF(OR(Q206="",Rules!$F$2=""),"",IF(Q206&gt;=Rules!$F$2,"Yes","No"))</f>
        <v/>
      </c>
    </row>
    <row r="207" customFormat="false" ht="15" hidden="false" customHeight="false" outlineLevel="0" collapsed="false">
      <c r="H207" s="3"/>
      <c r="J207" s="3"/>
      <c r="K207" s="4" t="str">
        <f aca="false">IF(I207="","",IFERROR(VLOOKUP(I207,Rules!$A$2:$C$9,2,FALSE()),""))</f>
        <v/>
      </c>
      <c r="L207" s="5" t="str">
        <f aca="false">IF(OR(I207="",J207=""),"",IFERROR(J207+VLOOKUP(I207,Rules!$A$2:$C$9,3,FALSE()),""))</f>
        <v/>
      </c>
      <c r="M207" s="4" t="str">
        <f aca="true">IF(OR(L207="",I207="8 Closed"),"",IF(L207&lt;TODAY(),"OVERDUE",IF(L207-TODAY()&lt;=2,"Due soon","")))</f>
        <v/>
      </c>
      <c r="R207" s="4" t="str">
        <f aca="false">IF(OR(Q207="",Rules!$F$2=""),"",IF(Q207&gt;=Rules!$F$2,"Yes","No"))</f>
        <v/>
      </c>
    </row>
    <row r="208" customFormat="false" ht="15" hidden="false" customHeight="false" outlineLevel="0" collapsed="false">
      <c r="H208" s="3"/>
      <c r="J208" s="3"/>
      <c r="K208" s="4" t="str">
        <f aca="false">IF(I208="","",IFERROR(VLOOKUP(I208,Rules!$A$2:$C$9,2,FALSE()),""))</f>
        <v/>
      </c>
      <c r="L208" s="5" t="str">
        <f aca="false">IF(OR(I208="",J208=""),"",IFERROR(J208+VLOOKUP(I208,Rules!$A$2:$C$9,3,FALSE()),""))</f>
        <v/>
      </c>
      <c r="M208" s="4" t="str">
        <f aca="true">IF(OR(L208="",I208="8 Closed"),"",IF(L208&lt;TODAY(),"OVERDUE",IF(L208-TODAY()&lt;=2,"Due soon","")))</f>
        <v/>
      </c>
      <c r="R208" s="4" t="str">
        <f aca="false">IF(OR(Q208="",Rules!$F$2=""),"",IF(Q208&gt;=Rules!$F$2,"Yes","No"))</f>
        <v/>
      </c>
    </row>
    <row r="209" customFormat="false" ht="15" hidden="false" customHeight="false" outlineLevel="0" collapsed="false">
      <c r="H209" s="3"/>
      <c r="J209" s="3"/>
      <c r="K209" s="4" t="str">
        <f aca="false">IF(I209="","",IFERROR(VLOOKUP(I209,Rules!$A$2:$C$9,2,FALSE()),""))</f>
        <v/>
      </c>
      <c r="L209" s="5" t="str">
        <f aca="false">IF(OR(I209="",J209=""),"",IFERROR(J209+VLOOKUP(I209,Rules!$A$2:$C$9,3,FALSE()),""))</f>
        <v/>
      </c>
      <c r="M209" s="4" t="str">
        <f aca="true">IF(OR(L209="",I209="8 Closed"),"",IF(L209&lt;TODAY(),"OVERDUE",IF(L209-TODAY()&lt;=2,"Due soon","")))</f>
        <v/>
      </c>
      <c r="R209" s="4" t="str">
        <f aca="false">IF(OR(Q209="",Rules!$F$2=""),"",IF(Q209&gt;=Rules!$F$2,"Yes","No"))</f>
        <v/>
      </c>
    </row>
    <row r="210" customFormat="false" ht="15" hidden="false" customHeight="false" outlineLevel="0" collapsed="false">
      <c r="H210" s="3"/>
      <c r="J210" s="3"/>
      <c r="K210" s="4" t="str">
        <f aca="false">IF(I210="","",IFERROR(VLOOKUP(I210,Rules!$A$2:$C$9,2,FALSE()),""))</f>
        <v/>
      </c>
      <c r="L210" s="5" t="str">
        <f aca="false">IF(OR(I210="",J210=""),"",IFERROR(J210+VLOOKUP(I210,Rules!$A$2:$C$9,3,FALSE()),""))</f>
        <v/>
      </c>
      <c r="M210" s="4" t="str">
        <f aca="true">IF(OR(L210="",I210="8 Closed"),"",IF(L210&lt;TODAY(),"OVERDUE",IF(L210-TODAY()&lt;=2,"Due soon","")))</f>
        <v/>
      </c>
      <c r="R210" s="4" t="str">
        <f aca="false">IF(OR(Q210="",Rules!$F$2=""),"",IF(Q210&gt;=Rules!$F$2,"Yes","No"))</f>
        <v/>
      </c>
    </row>
    <row r="211" customFormat="false" ht="15" hidden="false" customHeight="false" outlineLevel="0" collapsed="false">
      <c r="H211" s="3"/>
      <c r="J211" s="3"/>
      <c r="K211" s="4" t="str">
        <f aca="false">IF(I211="","",IFERROR(VLOOKUP(I211,Rules!$A$2:$C$9,2,FALSE()),""))</f>
        <v/>
      </c>
      <c r="L211" s="5" t="str">
        <f aca="false">IF(OR(I211="",J211=""),"",IFERROR(J211+VLOOKUP(I211,Rules!$A$2:$C$9,3,FALSE()),""))</f>
        <v/>
      </c>
      <c r="M211" s="4" t="str">
        <f aca="true">IF(OR(L211="",I211="8 Closed"),"",IF(L211&lt;TODAY(),"OVERDUE",IF(L211-TODAY()&lt;=2,"Due soon","")))</f>
        <v/>
      </c>
      <c r="R211" s="4" t="str">
        <f aca="false">IF(OR(Q211="",Rules!$F$2=""),"",IF(Q211&gt;=Rules!$F$2,"Yes","No"))</f>
        <v/>
      </c>
    </row>
    <row r="212" customFormat="false" ht="15" hidden="false" customHeight="false" outlineLevel="0" collapsed="false">
      <c r="H212" s="3"/>
      <c r="J212" s="3"/>
      <c r="K212" s="4" t="str">
        <f aca="false">IF(I212="","",IFERROR(VLOOKUP(I212,Rules!$A$2:$C$9,2,FALSE()),""))</f>
        <v/>
      </c>
      <c r="L212" s="5" t="str">
        <f aca="false">IF(OR(I212="",J212=""),"",IFERROR(J212+VLOOKUP(I212,Rules!$A$2:$C$9,3,FALSE()),""))</f>
        <v/>
      </c>
      <c r="M212" s="4" t="str">
        <f aca="true">IF(OR(L212="",I212="8 Closed"),"",IF(L212&lt;TODAY(),"OVERDUE",IF(L212-TODAY()&lt;=2,"Due soon","")))</f>
        <v/>
      </c>
      <c r="R212" s="4" t="str">
        <f aca="false">IF(OR(Q212="",Rules!$F$2=""),"",IF(Q212&gt;=Rules!$F$2,"Yes","No"))</f>
        <v/>
      </c>
    </row>
    <row r="213" customFormat="false" ht="15" hidden="false" customHeight="false" outlineLevel="0" collapsed="false">
      <c r="H213" s="3"/>
      <c r="J213" s="3"/>
      <c r="K213" s="4" t="str">
        <f aca="false">IF(I213="","",IFERROR(VLOOKUP(I213,Rules!$A$2:$C$9,2,FALSE()),""))</f>
        <v/>
      </c>
      <c r="L213" s="5" t="str">
        <f aca="false">IF(OR(I213="",J213=""),"",IFERROR(J213+VLOOKUP(I213,Rules!$A$2:$C$9,3,FALSE()),""))</f>
        <v/>
      </c>
      <c r="M213" s="4" t="str">
        <f aca="true">IF(OR(L213="",I213="8 Closed"),"",IF(L213&lt;TODAY(),"OVERDUE",IF(L213-TODAY()&lt;=2,"Due soon","")))</f>
        <v/>
      </c>
      <c r="R213" s="4" t="str">
        <f aca="false">IF(OR(Q213="",Rules!$F$2=""),"",IF(Q213&gt;=Rules!$F$2,"Yes","No"))</f>
        <v/>
      </c>
    </row>
    <row r="214" customFormat="false" ht="15" hidden="false" customHeight="false" outlineLevel="0" collapsed="false">
      <c r="H214" s="3"/>
      <c r="J214" s="3"/>
      <c r="K214" s="4" t="str">
        <f aca="false">IF(I214="","",IFERROR(VLOOKUP(I214,Rules!$A$2:$C$9,2,FALSE()),""))</f>
        <v/>
      </c>
      <c r="L214" s="5" t="str">
        <f aca="false">IF(OR(I214="",J214=""),"",IFERROR(J214+VLOOKUP(I214,Rules!$A$2:$C$9,3,FALSE()),""))</f>
        <v/>
      </c>
      <c r="M214" s="4" t="str">
        <f aca="true">IF(OR(L214="",I214="8 Closed"),"",IF(L214&lt;TODAY(),"OVERDUE",IF(L214-TODAY()&lt;=2,"Due soon","")))</f>
        <v/>
      </c>
      <c r="R214" s="4" t="str">
        <f aca="false">IF(OR(Q214="",Rules!$F$2=""),"",IF(Q214&gt;=Rules!$F$2,"Yes","No"))</f>
        <v/>
      </c>
    </row>
    <row r="215" customFormat="false" ht="15" hidden="false" customHeight="false" outlineLevel="0" collapsed="false">
      <c r="H215" s="3"/>
      <c r="J215" s="3"/>
      <c r="K215" s="4" t="str">
        <f aca="false">IF(I215="","",IFERROR(VLOOKUP(I215,Rules!$A$2:$C$9,2,FALSE()),""))</f>
        <v/>
      </c>
      <c r="L215" s="5" t="str">
        <f aca="false">IF(OR(I215="",J215=""),"",IFERROR(J215+VLOOKUP(I215,Rules!$A$2:$C$9,3,FALSE()),""))</f>
        <v/>
      </c>
      <c r="M215" s="4" t="str">
        <f aca="true">IF(OR(L215="",I215="8 Closed"),"",IF(L215&lt;TODAY(),"OVERDUE",IF(L215-TODAY()&lt;=2,"Due soon","")))</f>
        <v/>
      </c>
      <c r="R215" s="4" t="str">
        <f aca="false">IF(OR(Q215="",Rules!$F$2=""),"",IF(Q215&gt;=Rules!$F$2,"Yes","No"))</f>
        <v/>
      </c>
    </row>
    <row r="216" customFormat="false" ht="15" hidden="false" customHeight="false" outlineLevel="0" collapsed="false">
      <c r="H216" s="3"/>
      <c r="J216" s="3"/>
      <c r="K216" s="4" t="str">
        <f aca="false">IF(I216="","",IFERROR(VLOOKUP(I216,Rules!$A$2:$C$9,2,FALSE()),""))</f>
        <v/>
      </c>
      <c r="L216" s="5" t="str">
        <f aca="false">IF(OR(I216="",J216=""),"",IFERROR(J216+VLOOKUP(I216,Rules!$A$2:$C$9,3,FALSE()),""))</f>
        <v/>
      </c>
      <c r="M216" s="4" t="str">
        <f aca="true">IF(OR(L216="",I216="8 Closed"),"",IF(L216&lt;TODAY(),"OVERDUE",IF(L216-TODAY()&lt;=2,"Due soon","")))</f>
        <v/>
      </c>
      <c r="R216" s="4" t="str">
        <f aca="false">IF(OR(Q216="",Rules!$F$2=""),"",IF(Q216&gt;=Rules!$F$2,"Yes","No"))</f>
        <v/>
      </c>
    </row>
    <row r="217" customFormat="false" ht="15" hidden="false" customHeight="false" outlineLevel="0" collapsed="false">
      <c r="H217" s="3"/>
      <c r="J217" s="3"/>
      <c r="K217" s="4" t="str">
        <f aca="false">IF(I217="","",IFERROR(VLOOKUP(I217,Rules!$A$2:$C$9,2,FALSE()),""))</f>
        <v/>
      </c>
      <c r="L217" s="5" t="str">
        <f aca="false">IF(OR(I217="",J217=""),"",IFERROR(J217+VLOOKUP(I217,Rules!$A$2:$C$9,3,FALSE()),""))</f>
        <v/>
      </c>
      <c r="M217" s="4" t="str">
        <f aca="true">IF(OR(L217="",I217="8 Closed"),"",IF(L217&lt;TODAY(),"OVERDUE",IF(L217-TODAY()&lt;=2,"Due soon","")))</f>
        <v/>
      </c>
      <c r="R217" s="4" t="str">
        <f aca="false">IF(OR(Q217="",Rules!$F$2=""),"",IF(Q217&gt;=Rules!$F$2,"Yes","No"))</f>
        <v/>
      </c>
    </row>
    <row r="218" customFormat="false" ht="15" hidden="false" customHeight="false" outlineLevel="0" collapsed="false">
      <c r="H218" s="3"/>
      <c r="J218" s="3"/>
      <c r="K218" s="4" t="str">
        <f aca="false">IF(I218="","",IFERROR(VLOOKUP(I218,Rules!$A$2:$C$9,2,FALSE()),""))</f>
        <v/>
      </c>
      <c r="L218" s="5" t="str">
        <f aca="false">IF(OR(I218="",J218=""),"",IFERROR(J218+VLOOKUP(I218,Rules!$A$2:$C$9,3,FALSE()),""))</f>
        <v/>
      </c>
      <c r="M218" s="4" t="str">
        <f aca="true">IF(OR(L218="",I218="8 Closed"),"",IF(L218&lt;TODAY(),"OVERDUE",IF(L218-TODAY()&lt;=2,"Due soon","")))</f>
        <v/>
      </c>
      <c r="R218" s="4" t="str">
        <f aca="false">IF(OR(Q218="",Rules!$F$2=""),"",IF(Q218&gt;=Rules!$F$2,"Yes","No"))</f>
        <v/>
      </c>
    </row>
    <row r="219" customFormat="false" ht="15" hidden="false" customHeight="false" outlineLevel="0" collapsed="false">
      <c r="H219" s="3"/>
      <c r="J219" s="3"/>
      <c r="K219" s="4" t="str">
        <f aca="false">IF(I219="","",IFERROR(VLOOKUP(I219,Rules!$A$2:$C$9,2,FALSE()),""))</f>
        <v/>
      </c>
      <c r="L219" s="5" t="str">
        <f aca="false">IF(OR(I219="",J219=""),"",IFERROR(J219+VLOOKUP(I219,Rules!$A$2:$C$9,3,FALSE()),""))</f>
        <v/>
      </c>
      <c r="M219" s="4" t="str">
        <f aca="true">IF(OR(L219="",I219="8 Closed"),"",IF(L219&lt;TODAY(),"OVERDUE",IF(L219-TODAY()&lt;=2,"Due soon","")))</f>
        <v/>
      </c>
      <c r="R219" s="4" t="str">
        <f aca="false">IF(OR(Q219="",Rules!$F$2=""),"",IF(Q219&gt;=Rules!$F$2,"Yes","No"))</f>
        <v/>
      </c>
    </row>
    <row r="220" customFormat="false" ht="15" hidden="false" customHeight="false" outlineLevel="0" collapsed="false">
      <c r="H220" s="3"/>
      <c r="J220" s="3"/>
      <c r="K220" s="4" t="str">
        <f aca="false">IF(I220="","",IFERROR(VLOOKUP(I220,Rules!$A$2:$C$9,2,FALSE()),""))</f>
        <v/>
      </c>
      <c r="L220" s="5" t="str">
        <f aca="false">IF(OR(I220="",J220=""),"",IFERROR(J220+VLOOKUP(I220,Rules!$A$2:$C$9,3,FALSE()),""))</f>
        <v/>
      </c>
      <c r="M220" s="4" t="str">
        <f aca="true">IF(OR(L220="",I220="8 Closed"),"",IF(L220&lt;TODAY(),"OVERDUE",IF(L220-TODAY()&lt;=2,"Due soon","")))</f>
        <v/>
      </c>
      <c r="R220" s="4" t="str">
        <f aca="false">IF(OR(Q220="",Rules!$F$2=""),"",IF(Q220&gt;=Rules!$F$2,"Yes","No"))</f>
        <v/>
      </c>
    </row>
    <row r="221" customFormat="false" ht="15" hidden="false" customHeight="false" outlineLevel="0" collapsed="false">
      <c r="H221" s="3"/>
      <c r="J221" s="3"/>
      <c r="K221" s="4" t="str">
        <f aca="false">IF(I221="","",IFERROR(VLOOKUP(I221,Rules!$A$2:$C$9,2,FALSE()),""))</f>
        <v/>
      </c>
      <c r="L221" s="5" t="str">
        <f aca="false">IF(OR(I221="",J221=""),"",IFERROR(J221+VLOOKUP(I221,Rules!$A$2:$C$9,3,FALSE()),""))</f>
        <v/>
      </c>
      <c r="M221" s="4" t="str">
        <f aca="true">IF(OR(L221="",I221="8 Closed"),"",IF(L221&lt;TODAY(),"OVERDUE",IF(L221-TODAY()&lt;=2,"Due soon","")))</f>
        <v/>
      </c>
      <c r="R221" s="4" t="str">
        <f aca="false">IF(OR(Q221="",Rules!$F$2=""),"",IF(Q221&gt;=Rules!$F$2,"Yes","No"))</f>
        <v/>
      </c>
    </row>
    <row r="222" customFormat="false" ht="15" hidden="false" customHeight="false" outlineLevel="0" collapsed="false">
      <c r="H222" s="3"/>
      <c r="J222" s="3"/>
      <c r="K222" s="4" t="str">
        <f aca="false">IF(I222="","",IFERROR(VLOOKUP(I222,Rules!$A$2:$C$9,2,FALSE()),""))</f>
        <v/>
      </c>
      <c r="L222" s="5" t="str">
        <f aca="false">IF(OR(I222="",J222=""),"",IFERROR(J222+VLOOKUP(I222,Rules!$A$2:$C$9,3,FALSE()),""))</f>
        <v/>
      </c>
      <c r="M222" s="4" t="str">
        <f aca="true">IF(OR(L222="",I222="8 Closed"),"",IF(L222&lt;TODAY(),"OVERDUE",IF(L222-TODAY()&lt;=2,"Due soon","")))</f>
        <v/>
      </c>
      <c r="R222" s="4" t="str">
        <f aca="false">IF(OR(Q222="",Rules!$F$2=""),"",IF(Q222&gt;=Rules!$F$2,"Yes","No"))</f>
        <v/>
      </c>
    </row>
    <row r="223" customFormat="false" ht="15" hidden="false" customHeight="false" outlineLevel="0" collapsed="false">
      <c r="H223" s="3"/>
      <c r="J223" s="3"/>
      <c r="K223" s="4" t="str">
        <f aca="false">IF(I223="","",IFERROR(VLOOKUP(I223,Rules!$A$2:$C$9,2,FALSE()),""))</f>
        <v/>
      </c>
      <c r="L223" s="5" t="str">
        <f aca="false">IF(OR(I223="",J223=""),"",IFERROR(J223+VLOOKUP(I223,Rules!$A$2:$C$9,3,FALSE()),""))</f>
        <v/>
      </c>
      <c r="M223" s="4" t="str">
        <f aca="true">IF(OR(L223="",I223="8 Closed"),"",IF(L223&lt;TODAY(),"OVERDUE",IF(L223-TODAY()&lt;=2,"Due soon","")))</f>
        <v/>
      </c>
      <c r="R223" s="4" t="str">
        <f aca="false">IF(OR(Q223="",Rules!$F$2=""),"",IF(Q223&gt;=Rules!$F$2,"Yes","No"))</f>
        <v/>
      </c>
    </row>
    <row r="224" customFormat="false" ht="15" hidden="false" customHeight="false" outlineLevel="0" collapsed="false">
      <c r="H224" s="3"/>
      <c r="J224" s="3"/>
      <c r="K224" s="4" t="str">
        <f aca="false">IF(I224="","",IFERROR(VLOOKUP(I224,Rules!$A$2:$C$9,2,FALSE()),""))</f>
        <v/>
      </c>
      <c r="L224" s="5" t="str">
        <f aca="false">IF(OR(I224="",J224=""),"",IFERROR(J224+VLOOKUP(I224,Rules!$A$2:$C$9,3,FALSE()),""))</f>
        <v/>
      </c>
      <c r="M224" s="4" t="str">
        <f aca="true">IF(OR(L224="",I224="8 Closed"),"",IF(L224&lt;TODAY(),"OVERDUE",IF(L224-TODAY()&lt;=2,"Due soon","")))</f>
        <v/>
      </c>
      <c r="R224" s="4" t="str">
        <f aca="false">IF(OR(Q224="",Rules!$F$2=""),"",IF(Q224&gt;=Rules!$F$2,"Yes","No"))</f>
        <v/>
      </c>
    </row>
    <row r="225" customFormat="false" ht="15" hidden="false" customHeight="false" outlineLevel="0" collapsed="false">
      <c r="H225" s="3"/>
      <c r="J225" s="3"/>
      <c r="K225" s="4" t="str">
        <f aca="false">IF(I225="","",IFERROR(VLOOKUP(I225,Rules!$A$2:$C$9,2,FALSE()),""))</f>
        <v/>
      </c>
      <c r="L225" s="5" t="str">
        <f aca="false">IF(OR(I225="",J225=""),"",IFERROR(J225+VLOOKUP(I225,Rules!$A$2:$C$9,3,FALSE()),""))</f>
        <v/>
      </c>
      <c r="M225" s="4" t="str">
        <f aca="true">IF(OR(L225="",I225="8 Closed"),"",IF(L225&lt;TODAY(),"OVERDUE",IF(L225-TODAY()&lt;=2,"Due soon","")))</f>
        <v/>
      </c>
      <c r="R225" s="4" t="str">
        <f aca="false">IF(OR(Q225="",Rules!$F$2=""),"",IF(Q225&gt;=Rules!$F$2,"Yes","No"))</f>
        <v/>
      </c>
    </row>
    <row r="226" customFormat="false" ht="15" hidden="false" customHeight="false" outlineLevel="0" collapsed="false">
      <c r="H226" s="3"/>
      <c r="J226" s="3"/>
      <c r="K226" s="4" t="str">
        <f aca="false">IF(I226="","",IFERROR(VLOOKUP(I226,Rules!$A$2:$C$9,2,FALSE()),""))</f>
        <v/>
      </c>
      <c r="L226" s="5" t="str">
        <f aca="false">IF(OR(I226="",J226=""),"",IFERROR(J226+VLOOKUP(I226,Rules!$A$2:$C$9,3,FALSE()),""))</f>
        <v/>
      </c>
      <c r="M226" s="4" t="str">
        <f aca="true">IF(OR(L226="",I226="8 Closed"),"",IF(L226&lt;TODAY(),"OVERDUE",IF(L226-TODAY()&lt;=2,"Due soon","")))</f>
        <v/>
      </c>
      <c r="R226" s="4" t="str">
        <f aca="false">IF(OR(Q226="",Rules!$F$2=""),"",IF(Q226&gt;=Rules!$F$2,"Yes","No"))</f>
        <v/>
      </c>
    </row>
    <row r="227" customFormat="false" ht="15" hidden="false" customHeight="false" outlineLevel="0" collapsed="false">
      <c r="H227" s="3"/>
      <c r="J227" s="3"/>
      <c r="K227" s="4" t="str">
        <f aca="false">IF(I227="","",IFERROR(VLOOKUP(I227,Rules!$A$2:$C$9,2,FALSE()),""))</f>
        <v/>
      </c>
      <c r="L227" s="5" t="str">
        <f aca="false">IF(OR(I227="",J227=""),"",IFERROR(J227+VLOOKUP(I227,Rules!$A$2:$C$9,3,FALSE()),""))</f>
        <v/>
      </c>
      <c r="M227" s="4" t="str">
        <f aca="true">IF(OR(L227="",I227="8 Closed"),"",IF(L227&lt;TODAY(),"OVERDUE",IF(L227-TODAY()&lt;=2,"Due soon","")))</f>
        <v/>
      </c>
      <c r="R227" s="4" t="str">
        <f aca="false">IF(OR(Q227="",Rules!$F$2=""),"",IF(Q227&gt;=Rules!$F$2,"Yes","No"))</f>
        <v/>
      </c>
    </row>
    <row r="228" customFormat="false" ht="15" hidden="false" customHeight="false" outlineLevel="0" collapsed="false">
      <c r="H228" s="3"/>
      <c r="J228" s="3"/>
      <c r="K228" s="4" t="str">
        <f aca="false">IF(I228="","",IFERROR(VLOOKUP(I228,Rules!$A$2:$C$9,2,FALSE()),""))</f>
        <v/>
      </c>
      <c r="L228" s="5" t="str">
        <f aca="false">IF(OR(I228="",J228=""),"",IFERROR(J228+VLOOKUP(I228,Rules!$A$2:$C$9,3,FALSE()),""))</f>
        <v/>
      </c>
      <c r="M228" s="4" t="str">
        <f aca="true">IF(OR(L228="",I228="8 Closed"),"",IF(L228&lt;TODAY(),"OVERDUE",IF(L228-TODAY()&lt;=2,"Due soon","")))</f>
        <v/>
      </c>
      <c r="R228" s="4" t="str">
        <f aca="false">IF(OR(Q228="",Rules!$F$2=""),"",IF(Q228&gt;=Rules!$F$2,"Yes","No"))</f>
        <v/>
      </c>
    </row>
    <row r="229" customFormat="false" ht="15" hidden="false" customHeight="false" outlineLevel="0" collapsed="false">
      <c r="H229" s="3"/>
      <c r="J229" s="3"/>
      <c r="K229" s="4" t="str">
        <f aca="false">IF(I229="","",IFERROR(VLOOKUP(I229,Rules!$A$2:$C$9,2,FALSE()),""))</f>
        <v/>
      </c>
      <c r="L229" s="5" t="str">
        <f aca="false">IF(OR(I229="",J229=""),"",IFERROR(J229+VLOOKUP(I229,Rules!$A$2:$C$9,3,FALSE()),""))</f>
        <v/>
      </c>
      <c r="M229" s="4" t="str">
        <f aca="true">IF(OR(L229="",I229="8 Closed"),"",IF(L229&lt;TODAY(),"OVERDUE",IF(L229-TODAY()&lt;=2,"Due soon","")))</f>
        <v/>
      </c>
      <c r="R229" s="4" t="str">
        <f aca="false">IF(OR(Q229="",Rules!$F$2=""),"",IF(Q229&gt;=Rules!$F$2,"Yes","No"))</f>
        <v/>
      </c>
    </row>
    <row r="230" customFormat="false" ht="15" hidden="false" customHeight="false" outlineLevel="0" collapsed="false">
      <c r="H230" s="3"/>
      <c r="J230" s="3"/>
      <c r="K230" s="4" t="str">
        <f aca="false">IF(I230="","",IFERROR(VLOOKUP(I230,Rules!$A$2:$C$9,2,FALSE()),""))</f>
        <v/>
      </c>
      <c r="L230" s="5" t="str">
        <f aca="false">IF(OR(I230="",J230=""),"",IFERROR(J230+VLOOKUP(I230,Rules!$A$2:$C$9,3,FALSE()),""))</f>
        <v/>
      </c>
      <c r="M230" s="4" t="str">
        <f aca="true">IF(OR(L230="",I230="8 Closed"),"",IF(L230&lt;TODAY(),"OVERDUE",IF(L230-TODAY()&lt;=2,"Due soon","")))</f>
        <v/>
      </c>
      <c r="R230" s="4" t="str">
        <f aca="false">IF(OR(Q230="",Rules!$F$2=""),"",IF(Q230&gt;=Rules!$F$2,"Yes","No"))</f>
        <v/>
      </c>
    </row>
    <row r="231" customFormat="false" ht="15" hidden="false" customHeight="false" outlineLevel="0" collapsed="false">
      <c r="H231" s="3"/>
      <c r="J231" s="3"/>
      <c r="K231" s="4" t="str">
        <f aca="false">IF(I231="","",IFERROR(VLOOKUP(I231,Rules!$A$2:$C$9,2,FALSE()),""))</f>
        <v/>
      </c>
      <c r="L231" s="5" t="str">
        <f aca="false">IF(OR(I231="",J231=""),"",IFERROR(J231+VLOOKUP(I231,Rules!$A$2:$C$9,3,FALSE()),""))</f>
        <v/>
      </c>
      <c r="M231" s="4" t="str">
        <f aca="true">IF(OR(L231="",I231="8 Closed"),"",IF(L231&lt;TODAY(),"OVERDUE",IF(L231-TODAY()&lt;=2,"Due soon","")))</f>
        <v/>
      </c>
      <c r="R231" s="4" t="str">
        <f aca="false">IF(OR(Q231="",Rules!$F$2=""),"",IF(Q231&gt;=Rules!$F$2,"Yes","No"))</f>
        <v/>
      </c>
    </row>
    <row r="232" customFormat="false" ht="15" hidden="false" customHeight="false" outlineLevel="0" collapsed="false">
      <c r="H232" s="3"/>
      <c r="J232" s="3"/>
      <c r="K232" s="4" t="str">
        <f aca="false">IF(I232="","",IFERROR(VLOOKUP(I232,Rules!$A$2:$C$9,2,FALSE()),""))</f>
        <v/>
      </c>
      <c r="L232" s="5" t="str">
        <f aca="false">IF(OR(I232="",J232=""),"",IFERROR(J232+VLOOKUP(I232,Rules!$A$2:$C$9,3,FALSE()),""))</f>
        <v/>
      </c>
      <c r="M232" s="4" t="str">
        <f aca="true">IF(OR(L232="",I232="8 Closed"),"",IF(L232&lt;TODAY(),"OVERDUE",IF(L232-TODAY()&lt;=2,"Due soon","")))</f>
        <v/>
      </c>
      <c r="R232" s="4" t="str">
        <f aca="false">IF(OR(Q232="",Rules!$F$2=""),"",IF(Q232&gt;=Rules!$F$2,"Yes","No"))</f>
        <v/>
      </c>
    </row>
    <row r="233" customFormat="false" ht="15" hidden="false" customHeight="false" outlineLevel="0" collapsed="false">
      <c r="H233" s="3"/>
      <c r="J233" s="3"/>
      <c r="K233" s="4" t="str">
        <f aca="false">IF(I233="","",IFERROR(VLOOKUP(I233,Rules!$A$2:$C$9,2,FALSE()),""))</f>
        <v/>
      </c>
      <c r="L233" s="5" t="str">
        <f aca="false">IF(OR(I233="",J233=""),"",IFERROR(J233+VLOOKUP(I233,Rules!$A$2:$C$9,3,FALSE()),""))</f>
        <v/>
      </c>
      <c r="M233" s="4" t="str">
        <f aca="true">IF(OR(L233="",I233="8 Closed"),"",IF(L233&lt;TODAY(),"OVERDUE",IF(L233-TODAY()&lt;=2,"Due soon","")))</f>
        <v/>
      </c>
      <c r="R233" s="4" t="str">
        <f aca="false">IF(OR(Q233="",Rules!$F$2=""),"",IF(Q233&gt;=Rules!$F$2,"Yes","No"))</f>
        <v/>
      </c>
    </row>
    <row r="234" customFormat="false" ht="15" hidden="false" customHeight="false" outlineLevel="0" collapsed="false">
      <c r="H234" s="3"/>
      <c r="J234" s="3"/>
      <c r="K234" s="4" t="str">
        <f aca="false">IF(I234="","",IFERROR(VLOOKUP(I234,Rules!$A$2:$C$9,2,FALSE()),""))</f>
        <v/>
      </c>
      <c r="L234" s="5" t="str">
        <f aca="false">IF(OR(I234="",J234=""),"",IFERROR(J234+VLOOKUP(I234,Rules!$A$2:$C$9,3,FALSE()),""))</f>
        <v/>
      </c>
      <c r="M234" s="4" t="str">
        <f aca="true">IF(OR(L234="",I234="8 Closed"),"",IF(L234&lt;TODAY(),"OVERDUE",IF(L234-TODAY()&lt;=2,"Due soon","")))</f>
        <v/>
      </c>
      <c r="R234" s="4" t="str">
        <f aca="false">IF(OR(Q234="",Rules!$F$2=""),"",IF(Q234&gt;=Rules!$F$2,"Yes","No"))</f>
        <v/>
      </c>
    </row>
    <row r="235" customFormat="false" ht="15" hidden="false" customHeight="false" outlineLevel="0" collapsed="false">
      <c r="H235" s="3"/>
      <c r="J235" s="3"/>
      <c r="K235" s="4" t="str">
        <f aca="false">IF(I235="","",IFERROR(VLOOKUP(I235,Rules!$A$2:$C$9,2,FALSE()),""))</f>
        <v/>
      </c>
      <c r="L235" s="5" t="str">
        <f aca="false">IF(OR(I235="",J235=""),"",IFERROR(J235+VLOOKUP(I235,Rules!$A$2:$C$9,3,FALSE()),""))</f>
        <v/>
      </c>
      <c r="M235" s="4" t="str">
        <f aca="true">IF(OR(L235="",I235="8 Closed"),"",IF(L235&lt;TODAY(),"OVERDUE",IF(L235-TODAY()&lt;=2,"Due soon","")))</f>
        <v/>
      </c>
      <c r="R235" s="4" t="str">
        <f aca="false">IF(OR(Q235="",Rules!$F$2=""),"",IF(Q235&gt;=Rules!$F$2,"Yes","No"))</f>
        <v/>
      </c>
    </row>
    <row r="236" customFormat="false" ht="15" hidden="false" customHeight="false" outlineLevel="0" collapsed="false">
      <c r="H236" s="3"/>
      <c r="J236" s="3"/>
      <c r="K236" s="4" t="str">
        <f aca="false">IF(I236="","",IFERROR(VLOOKUP(I236,Rules!$A$2:$C$9,2,FALSE()),""))</f>
        <v/>
      </c>
      <c r="L236" s="5" t="str">
        <f aca="false">IF(OR(I236="",J236=""),"",IFERROR(J236+VLOOKUP(I236,Rules!$A$2:$C$9,3,FALSE()),""))</f>
        <v/>
      </c>
      <c r="M236" s="4" t="str">
        <f aca="true">IF(OR(L236="",I236="8 Closed"),"",IF(L236&lt;TODAY(),"OVERDUE",IF(L236-TODAY()&lt;=2,"Due soon","")))</f>
        <v/>
      </c>
      <c r="R236" s="4" t="str">
        <f aca="false">IF(OR(Q236="",Rules!$F$2=""),"",IF(Q236&gt;=Rules!$F$2,"Yes","No"))</f>
        <v/>
      </c>
    </row>
    <row r="237" customFormat="false" ht="15" hidden="false" customHeight="false" outlineLevel="0" collapsed="false">
      <c r="H237" s="3"/>
      <c r="J237" s="3"/>
      <c r="K237" s="4" t="str">
        <f aca="false">IF(I237="","",IFERROR(VLOOKUP(I237,Rules!$A$2:$C$9,2,FALSE()),""))</f>
        <v/>
      </c>
      <c r="L237" s="5" t="str">
        <f aca="false">IF(OR(I237="",J237=""),"",IFERROR(J237+VLOOKUP(I237,Rules!$A$2:$C$9,3,FALSE()),""))</f>
        <v/>
      </c>
      <c r="M237" s="4" t="str">
        <f aca="true">IF(OR(L237="",I237="8 Closed"),"",IF(L237&lt;TODAY(),"OVERDUE",IF(L237-TODAY()&lt;=2,"Due soon","")))</f>
        <v/>
      </c>
      <c r="R237" s="4" t="str">
        <f aca="false">IF(OR(Q237="",Rules!$F$2=""),"",IF(Q237&gt;=Rules!$F$2,"Yes","No"))</f>
        <v/>
      </c>
    </row>
    <row r="238" customFormat="false" ht="15" hidden="false" customHeight="false" outlineLevel="0" collapsed="false">
      <c r="H238" s="3"/>
      <c r="J238" s="3"/>
      <c r="K238" s="4" t="str">
        <f aca="false">IF(I238="","",IFERROR(VLOOKUP(I238,Rules!$A$2:$C$9,2,FALSE()),""))</f>
        <v/>
      </c>
      <c r="L238" s="5" t="str">
        <f aca="false">IF(OR(I238="",J238=""),"",IFERROR(J238+VLOOKUP(I238,Rules!$A$2:$C$9,3,FALSE()),""))</f>
        <v/>
      </c>
      <c r="M238" s="4" t="str">
        <f aca="true">IF(OR(L238="",I238="8 Closed"),"",IF(L238&lt;TODAY(),"OVERDUE",IF(L238-TODAY()&lt;=2,"Due soon","")))</f>
        <v/>
      </c>
      <c r="R238" s="4" t="str">
        <f aca="false">IF(OR(Q238="",Rules!$F$2=""),"",IF(Q238&gt;=Rules!$F$2,"Yes","No"))</f>
        <v/>
      </c>
    </row>
    <row r="239" customFormat="false" ht="15" hidden="false" customHeight="false" outlineLevel="0" collapsed="false">
      <c r="H239" s="3"/>
      <c r="J239" s="3"/>
      <c r="K239" s="4" t="str">
        <f aca="false">IF(I239="","",IFERROR(VLOOKUP(I239,Rules!$A$2:$C$9,2,FALSE()),""))</f>
        <v/>
      </c>
      <c r="L239" s="5" t="str">
        <f aca="false">IF(OR(I239="",J239=""),"",IFERROR(J239+VLOOKUP(I239,Rules!$A$2:$C$9,3,FALSE()),""))</f>
        <v/>
      </c>
      <c r="M239" s="4" t="str">
        <f aca="true">IF(OR(L239="",I239="8 Closed"),"",IF(L239&lt;TODAY(),"OVERDUE",IF(L239-TODAY()&lt;=2,"Due soon","")))</f>
        <v/>
      </c>
      <c r="R239" s="4" t="str">
        <f aca="false">IF(OR(Q239="",Rules!$F$2=""),"",IF(Q239&gt;=Rules!$F$2,"Yes","No"))</f>
        <v/>
      </c>
    </row>
    <row r="240" customFormat="false" ht="15" hidden="false" customHeight="false" outlineLevel="0" collapsed="false">
      <c r="H240" s="3"/>
      <c r="J240" s="3"/>
      <c r="K240" s="4" t="str">
        <f aca="false">IF(I240="","",IFERROR(VLOOKUP(I240,Rules!$A$2:$C$9,2,FALSE()),""))</f>
        <v/>
      </c>
      <c r="L240" s="5" t="str">
        <f aca="false">IF(OR(I240="",J240=""),"",IFERROR(J240+VLOOKUP(I240,Rules!$A$2:$C$9,3,FALSE()),""))</f>
        <v/>
      </c>
      <c r="M240" s="4" t="str">
        <f aca="true">IF(OR(L240="",I240="8 Closed"),"",IF(L240&lt;TODAY(),"OVERDUE",IF(L240-TODAY()&lt;=2,"Due soon","")))</f>
        <v/>
      </c>
      <c r="R240" s="4" t="str">
        <f aca="false">IF(OR(Q240="",Rules!$F$2=""),"",IF(Q240&gt;=Rules!$F$2,"Yes","No"))</f>
        <v/>
      </c>
    </row>
    <row r="241" customFormat="false" ht="15" hidden="false" customHeight="false" outlineLevel="0" collapsed="false">
      <c r="H241" s="3"/>
      <c r="J241" s="3"/>
      <c r="K241" s="4" t="str">
        <f aca="false">IF(I241="","",IFERROR(VLOOKUP(I241,Rules!$A$2:$C$9,2,FALSE()),""))</f>
        <v/>
      </c>
      <c r="L241" s="5" t="str">
        <f aca="false">IF(OR(I241="",J241=""),"",IFERROR(J241+VLOOKUP(I241,Rules!$A$2:$C$9,3,FALSE()),""))</f>
        <v/>
      </c>
      <c r="M241" s="4" t="str">
        <f aca="true">IF(OR(L241="",I241="8 Closed"),"",IF(L241&lt;TODAY(),"OVERDUE",IF(L241-TODAY()&lt;=2,"Due soon","")))</f>
        <v/>
      </c>
      <c r="R241" s="4" t="str">
        <f aca="false">IF(OR(Q241="",Rules!$F$2=""),"",IF(Q241&gt;=Rules!$F$2,"Yes","No"))</f>
        <v/>
      </c>
    </row>
    <row r="242" customFormat="false" ht="15" hidden="false" customHeight="false" outlineLevel="0" collapsed="false">
      <c r="H242" s="3"/>
      <c r="J242" s="3"/>
      <c r="K242" s="4" t="str">
        <f aca="false">IF(I242="","",IFERROR(VLOOKUP(I242,Rules!$A$2:$C$9,2,FALSE()),""))</f>
        <v/>
      </c>
      <c r="L242" s="5" t="str">
        <f aca="false">IF(OR(I242="",J242=""),"",IFERROR(J242+VLOOKUP(I242,Rules!$A$2:$C$9,3,FALSE()),""))</f>
        <v/>
      </c>
      <c r="M242" s="4" t="str">
        <f aca="true">IF(OR(L242="",I242="8 Closed"),"",IF(L242&lt;TODAY(),"OVERDUE",IF(L242-TODAY()&lt;=2,"Due soon","")))</f>
        <v/>
      </c>
      <c r="R242" s="4" t="str">
        <f aca="false">IF(OR(Q242="",Rules!$F$2=""),"",IF(Q242&gt;=Rules!$F$2,"Yes","No"))</f>
        <v/>
      </c>
    </row>
    <row r="243" customFormat="false" ht="15" hidden="false" customHeight="false" outlineLevel="0" collapsed="false">
      <c r="H243" s="3"/>
      <c r="J243" s="3"/>
      <c r="K243" s="4" t="str">
        <f aca="false">IF(I243="","",IFERROR(VLOOKUP(I243,Rules!$A$2:$C$9,2,FALSE()),""))</f>
        <v/>
      </c>
      <c r="L243" s="5" t="str">
        <f aca="false">IF(OR(I243="",J243=""),"",IFERROR(J243+VLOOKUP(I243,Rules!$A$2:$C$9,3,FALSE()),""))</f>
        <v/>
      </c>
      <c r="M243" s="4" t="str">
        <f aca="true">IF(OR(L243="",I243="8 Closed"),"",IF(L243&lt;TODAY(),"OVERDUE",IF(L243-TODAY()&lt;=2,"Due soon","")))</f>
        <v/>
      </c>
      <c r="R243" s="4" t="str">
        <f aca="false">IF(OR(Q243="",Rules!$F$2=""),"",IF(Q243&gt;=Rules!$F$2,"Yes","No"))</f>
        <v/>
      </c>
    </row>
    <row r="244" customFormat="false" ht="15" hidden="false" customHeight="false" outlineLevel="0" collapsed="false">
      <c r="H244" s="3"/>
      <c r="J244" s="3"/>
      <c r="K244" s="4" t="str">
        <f aca="false">IF(I244="","",IFERROR(VLOOKUP(I244,Rules!$A$2:$C$9,2,FALSE()),""))</f>
        <v/>
      </c>
      <c r="L244" s="5" t="str">
        <f aca="false">IF(OR(I244="",J244=""),"",IFERROR(J244+VLOOKUP(I244,Rules!$A$2:$C$9,3,FALSE()),""))</f>
        <v/>
      </c>
      <c r="M244" s="4" t="str">
        <f aca="true">IF(OR(L244="",I244="8 Closed"),"",IF(L244&lt;TODAY(),"OVERDUE",IF(L244-TODAY()&lt;=2,"Due soon","")))</f>
        <v/>
      </c>
      <c r="R244" s="4" t="str">
        <f aca="false">IF(OR(Q244="",Rules!$F$2=""),"",IF(Q244&gt;=Rules!$F$2,"Yes","No"))</f>
        <v/>
      </c>
    </row>
    <row r="245" customFormat="false" ht="15" hidden="false" customHeight="false" outlineLevel="0" collapsed="false">
      <c r="H245" s="3"/>
      <c r="J245" s="3"/>
      <c r="K245" s="4" t="str">
        <f aca="false">IF(I245="","",IFERROR(VLOOKUP(I245,Rules!$A$2:$C$9,2,FALSE()),""))</f>
        <v/>
      </c>
      <c r="L245" s="5" t="str">
        <f aca="false">IF(OR(I245="",J245=""),"",IFERROR(J245+VLOOKUP(I245,Rules!$A$2:$C$9,3,FALSE()),""))</f>
        <v/>
      </c>
      <c r="M245" s="4" t="str">
        <f aca="true">IF(OR(L245="",I245="8 Closed"),"",IF(L245&lt;TODAY(),"OVERDUE",IF(L245-TODAY()&lt;=2,"Due soon","")))</f>
        <v/>
      </c>
      <c r="R245" s="4" t="str">
        <f aca="false">IF(OR(Q245="",Rules!$F$2=""),"",IF(Q245&gt;=Rules!$F$2,"Yes","No"))</f>
        <v/>
      </c>
    </row>
    <row r="246" customFormat="false" ht="15" hidden="false" customHeight="false" outlineLevel="0" collapsed="false">
      <c r="H246" s="3"/>
      <c r="J246" s="3"/>
      <c r="K246" s="4" t="str">
        <f aca="false">IF(I246="","",IFERROR(VLOOKUP(I246,Rules!$A$2:$C$9,2,FALSE()),""))</f>
        <v/>
      </c>
      <c r="L246" s="5" t="str">
        <f aca="false">IF(OR(I246="",J246=""),"",IFERROR(J246+VLOOKUP(I246,Rules!$A$2:$C$9,3,FALSE()),""))</f>
        <v/>
      </c>
      <c r="M246" s="4" t="str">
        <f aca="true">IF(OR(L246="",I246="8 Closed"),"",IF(L246&lt;TODAY(),"OVERDUE",IF(L246-TODAY()&lt;=2,"Due soon","")))</f>
        <v/>
      </c>
      <c r="R246" s="4" t="str">
        <f aca="false">IF(OR(Q246="",Rules!$F$2=""),"",IF(Q246&gt;=Rules!$F$2,"Yes","No"))</f>
        <v/>
      </c>
    </row>
    <row r="247" customFormat="false" ht="15" hidden="false" customHeight="false" outlineLevel="0" collapsed="false">
      <c r="H247" s="3"/>
      <c r="J247" s="3"/>
      <c r="K247" s="4" t="str">
        <f aca="false">IF(I247="","",IFERROR(VLOOKUP(I247,Rules!$A$2:$C$9,2,FALSE()),""))</f>
        <v/>
      </c>
      <c r="L247" s="5" t="str">
        <f aca="false">IF(OR(I247="",J247=""),"",IFERROR(J247+VLOOKUP(I247,Rules!$A$2:$C$9,3,FALSE()),""))</f>
        <v/>
      </c>
      <c r="M247" s="4" t="str">
        <f aca="true">IF(OR(L247="",I247="8 Closed"),"",IF(L247&lt;TODAY(),"OVERDUE",IF(L247-TODAY()&lt;=2,"Due soon","")))</f>
        <v/>
      </c>
      <c r="R247" s="4" t="str">
        <f aca="false">IF(OR(Q247="",Rules!$F$2=""),"",IF(Q247&gt;=Rules!$F$2,"Yes","No"))</f>
        <v/>
      </c>
    </row>
    <row r="248" customFormat="false" ht="15" hidden="false" customHeight="false" outlineLevel="0" collapsed="false">
      <c r="H248" s="3"/>
      <c r="J248" s="3"/>
      <c r="K248" s="4" t="str">
        <f aca="false">IF(I248="","",IFERROR(VLOOKUP(I248,Rules!$A$2:$C$9,2,FALSE()),""))</f>
        <v/>
      </c>
      <c r="L248" s="5" t="str">
        <f aca="false">IF(OR(I248="",J248=""),"",IFERROR(J248+VLOOKUP(I248,Rules!$A$2:$C$9,3,FALSE()),""))</f>
        <v/>
      </c>
      <c r="M248" s="4" t="str">
        <f aca="true">IF(OR(L248="",I248="8 Closed"),"",IF(L248&lt;TODAY(),"OVERDUE",IF(L248-TODAY()&lt;=2,"Due soon","")))</f>
        <v/>
      </c>
      <c r="R248" s="4" t="str">
        <f aca="false">IF(OR(Q248="",Rules!$F$2=""),"",IF(Q248&gt;=Rules!$F$2,"Yes","No"))</f>
        <v/>
      </c>
    </row>
    <row r="249" customFormat="false" ht="15" hidden="false" customHeight="false" outlineLevel="0" collapsed="false">
      <c r="H249" s="3"/>
      <c r="J249" s="3"/>
      <c r="K249" s="4" t="str">
        <f aca="false">IF(I249="","",IFERROR(VLOOKUP(I249,Rules!$A$2:$C$9,2,FALSE()),""))</f>
        <v/>
      </c>
      <c r="L249" s="5" t="str">
        <f aca="false">IF(OR(I249="",J249=""),"",IFERROR(J249+VLOOKUP(I249,Rules!$A$2:$C$9,3,FALSE()),""))</f>
        <v/>
      </c>
      <c r="M249" s="4" t="str">
        <f aca="true">IF(OR(L249="",I249="8 Closed"),"",IF(L249&lt;TODAY(),"OVERDUE",IF(L249-TODAY()&lt;=2,"Due soon","")))</f>
        <v/>
      </c>
      <c r="R249" s="4" t="str">
        <f aca="false">IF(OR(Q249="",Rules!$F$2=""),"",IF(Q249&gt;=Rules!$F$2,"Yes","No"))</f>
        <v/>
      </c>
    </row>
    <row r="250" customFormat="false" ht="15" hidden="false" customHeight="false" outlineLevel="0" collapsed="false">
      <c r="H250" s="3"/>
      <c r="J250" s="3"/>
      <c r="K250" s="4" t="str">
        <f aca="false">IF(I250="","",IFERROR(VLOOKUP(I250,Rules!$A$2:$C$9,2,FALSE()),""))</f>
        <v/>
      </c>
      <c r="L250" s="5" t="str">
        <f aca="false">IF(OR(I250="",J250=""),"",IFERROR(J250+VLOOKUP(I250,Rules!$A$2:$C$9,3,FALSE()),""))</f>
        <v/>
      </c>
      <c r="M250" s="4" t="str">
        <f aca="true">IF(OR(L250="",I250="8 Closed"),"",IF(L250&lt;TODAY(),"OVERDUE",IF(L250-TODAY()&lt;=2,"Due soon","")))</f>
        <v/>
      </c>
      <c r="R250" s="4" t="str">
        <f aca="false">IF(OR(Q250="",Rules!$F$2=""),"",IF(Q250&gt;=Rules!$F$2,"Yes","No"))</f>
        <v/>
      </c>
    </row>
    <row r="251" customFormat="false" ht="15" hidden="false" customHeight="false" outlineLevel="0" collapsed="false">
      <c r="H251" s="3"/>
      <c r="J251" s="3"/>
      <c r="K251" s="4" t="str">
        <f aca="false">IF(I251="","",IFERROR(VLOOKUP(I251,Rules!$A$2:$C$9,2,FALSE()),""))</f>
        <v/>
      </c>
      <c r="L251" s="5" t="str">
        <f aca="false">IF(OR(I251="",J251=""),"",IFERROR(J251+VLOOKUP(I251,Rules!$A$2:$C$9,3,FALSE()),""))</f>
        <v/>
      </c>
      <c r="M251" s="4" t="str">
        <f aca="true">IF(OR(L251="",I251="8 Closed"),"",IF(L251&lt;TODAY(),"OVERDUE",IF(L251-TODAY()&lt;=2,"Due soon","")))</f>
        <v/>
      </c>
      <c r="R251" s="4" t="str">
        <f aca="false">IF(OR(Q251="",Rules!$F$2=""),"",IF(Q251&gt;=Rules!$F$2,"Yes","No"))</f>
        <v/>
      </c>
    </row>
    <row r="252" customFormat="false" ht="15" hidden="false" customHeight="false" outlineLevel="0" collapsed="false">
      <c r="H252" s="3"/>
      <c r="J252" s="3"/>
      <c r="K252" s="4" t="str">
        <f aca="false">IF(I252="","",IFERROR(VLOOKUP(I252,Rules!$A$2:$C$9,2,FALSE()),""))</f>
        <v/>
      </c>
      <c r="L252" s="5" t="str">
        <f aca="false">IF(OR(I252="",J252=""),"",IFERROR(J252+VLOOKUP(I252,Rules!$A$2:$C$9,3,FALSE()),""))</f>
        <v/>
      </c>
      <c r="M252" s="4" t="str">
        <f aca="true">IF(OR(L252="",I252="8 Closed"),"",IF(L252&lt;TODAY(),"OVERDUE",IF(L252-TODAY()&lt;=2,"Due soon","")))</f>
        <v/>
      </c>
      <c r="R252" s="4" t="str">
        <f aca="false">IF(OR(Q252="",Rules!$F$2=""),"",IF(Q252&gt;=Rules!$F$2,"Yes","No"))</f>
        <v/>
      </c>
    </row>
    <row r="253" customFormat="false" ht="15" hidden="false" customHeight="false" outlineLevel="0" collapsed="false">
      <c r="H253" s="3"/>
      <c r="J253" s="3"/>
      <c r="K253" s="4" t="str">
        <f aca="false">IF(I253="","",IFERROR(VLOOKUP(I253,Rules!$A$2:$C$9,2,FALSE()),""))</f>
        <v/>
      </c>
      <c r="L253" s="5" t="str">
        <f aca="false">IF(OR(I253="",J253=""),"",IFERROR(J253+VLOOKUP(I253,Rules!$A$2:$C$9,3,FALSE()),""))</f>
        <v/>
      </c>
      <c r="M253" s="4" t="str">
        <f aca="true">IF(OR(L253="",I253="8 Closed"),"",IF(L253&lt;TODAY(),"OVERDUE",IF(L253-TODAY()&lt;=2,"Due soon","")))</f>
        <v/>
      </c>
      <c r="R253" s="4" t="str">
        <f aca="false">IF(OR(Q253="",Rules!$F$2=""),"",IF(Q253&gt;=Rules!$F$2,"Yes","No"))</f>
        <v/>
      </c>
    </row>
    <row r="254" customFormat="false" ht="15" hidden="false" customHeight="false" outlineLevel="0" collapsed="false">
      <c r="H254" s="3"/>
      <c r="J254" s="3"/>
      <c r="K254" s="4" t="str">
        <f aca="false">IF(I254="","",IFERROR(VLOOKUP(I254,Rules!$A$2:$C$9,2,FALSE()),""))</f>
        <v/>
      </c>
      <c r="L254" s="5" t="str">
        <f aca="false">IF(OR(I254="",J254=""),"",IFERROR(J254+VLOOKUP(I254,Rules!$A$2:$C$9,3,FALSE()),""))</f>
        <v/>
      </c>
      <c r="M254" s="4" t="str">
        <f aca="true">IF(OR(L254="",I254="8 Closed"),"",IF(L254&lt;TODAY(),"OVERDUE",IF(L254-TODAY()&lt;=2,"Due soon","")))</f>
        <v/>
      </c>
      <c r="R254" s="4" t="str">
        <f aca="false">IF(OR(Q254="",Rules!$F$2=""),"",IF(Q254&gt;=Rules!$F$2,"Yes","No"))</f>
        <v/>
      </c>
    </row>
    <row r="255" customFormat="false" ht="15" hidden="false" customHeight="false" outlineLevel="0" collapsed="false">
      <c r="H255" s="3"/>
      <c r="J255" s="3"/>
      <c r="K255" s="4" t="str">
        <f aca="false">IF(I255="","",IFERROR(VLOOKUP(I255,Rules!$A$2:$C$9,2,FALSE()),""))</f>
        <v/>
      </c>
      <c r="L255" s="5" t="str">
        <f aca="false">IF(OR(I255="",J255=""),"",IFERROR(J255+VLOOKUP(I255,Rules!$A$2:$C$9,3,FALSE()),""))</f>
        <v/>
      </c>
      <c r="M255" s="4" t="str">
        <f aca="true">IF(OR(L255="",I255="8 Closed"),"",IF(L255&lt;TODAY(),"OVERDUE",IF(L255-TODAY()&lt;=2,"Due soon","")))</f>
        <v/>
      </c>
      <c r="R255" s="4" t="str">
        <f aca="false">IF(OR(Q255="",Rules!$F$2=""),"",IF(Q255&gt;=Rules!$F$2,"Yes","No"))</f>
        <v/>
      </c>
    </row>
    <row r="256" customFormat="false" ht="15" hidden="false" customHeight="false" outlineLevel="0" collapsed="false">
      <c r="H256" s="3"/>
      <c r="J256" s="3"/>
      <c r="K256" s="4" t="str">
        <f aca="false">IF(I256="","",IFERROR(VLOOKUP(I256,Rules!$A$2:$C$9,2,FALSE()),""))</f>
        <v/>
      </c>
      <c r="L256" s="5" t="str">
        <f aca="false">IF(OR(I256="",J256=""),"",IFERROR(J256+VLOOKUP(I256,Rules!$A$2:$C$9,3,FALSE()),""))</f>
        <v/>
      </c>
      <c r="M256" s="4" t="str">
        <f aca="true">IF(OR(L256="",I256="8 Closed"),"",IF(L256&lt;TODAY(),"OVERDUE",IF(L256-TODAY()&lt;=2,"Due soon","")))</f>
        <v/>
      </c>
      <c r="R256" s="4" t="str">
        <f aca="false">IF(OR(Q256="",Rules!$F$2=""),"",IF(Q256&gt;=Rules!$F$2,"Yes","No"))</f>
        <v/>
      </c>
    </row>
    <row r="257" customFormat="false" ht="15" hidden="false" customHeight="false" outlineLevel="0" collapsed="false">
      <c r="H257" s="3"/>
      <c r="J257" s="3"/>
      <c r="K257" s="4" t="str">
        <f aca="false">IF(I257="","",IFERROR(VLOOKUP(I257,Rules!$A$2:$C$9,2,FALSE()),""))</f>
        <v/>
      </c>
      <c r="L257" s="5" t="str">
        <f aca="false">IF(OR(I257="",J257=""),"",IFERROR(J257+VLOOKUP(I257,Rules!$A$2:$C$9,3,FALSE()),""))</f>
        <v/>
      </c>
      <c r="M257" s="4" t="str">
        <f aca="true">IF(OR(L257="",I257="8 Closed"),"",IF(L257&lt;TODAY(),"OVERDUE",IF(L257-TODAY()&lt;=2,"Due soon","")))</f>
        <v/>
      </c>
      <c r="R257" s="4" t="str">
        <f aca="false">IF(OR(Q257="",Rules!$F$2=""),"",IF(Q257&gt;=Rules!$F$2,"Yes","No"))</f>
        <v/>
      </c>
    </row>
    <row r="258" customFormat="false" ht="15" hidden="false" customHeight="false" outlineLevel="0" collapsed="false">
      <c r="H258" s="3"/>
      <c r="J258" s="3"/>
      <c r="K258" s="4" t="str">
        <f aca="false">IF(I258="","",IFERROR(VLOOKUP(I258,Rules!$A$2:$C$9,2,FALSE()),""))</f>
        <v/>
      </c>
      <c r="L258" s="5" t="str">
        <f aca="false">IF(OR(I258="",J258=""),"",IFERROR(J258+VLOOKUP(I258,Rules!$A$2:$C$9,3,FALSE()),""))</f>
        <v/>
      </c>
      <c r="M258" s="4" t="str">
        <f aca="true">IF(OR(L258="",I258="8 Closed"),"",IF(L258&lt;TODAY(),"OVERDUE",IF(L258-TODAY()&lt;=2,"Due soon","")))</f>
        <v/>
      </c>
      <c r="R258" s="4" t="str">
        <f aca="false">IF(OR(Q258="",Rules!$F$2=""),"",IF(Q258&gt;=Rules!$F$2,"Yes","No"))</f>
        <v/>
      </c>
    </row>
    <row r="259" customFormat="false" ht="15" hidden="false" customHeight="false" outlineLevel="0" collapsed="false">
      <c r="H259" s="3"/>
      <c r="J259" s="3"/>
      <c r="K259" s="4" t="str">
        <f aca="false">IF(I259="","",IFERROR(VLOOKUP(I259,Rules!$A$2:$C$9,2,FALSE()),""))</f>
        <v/>
      </c>
      <c r="L259" s="5" t="str">
        <f aca="false">IF(OR(I259="",J259=""),"",IFERROR(J259+VLOOKUP(I259,Rules!$A$2:$C$9,3,FALSE()),""))</f>
        <v/>
      </c>
      <c r="M259" s="4" t="str">
        <f aca="true">IF(OR(L259="",I259="8 Closed"),"",IF(L259&lt;TODAY(),"OVERDUE",IF(L259-TODAY()&lt;=2,"Due soon","")))</f>
        <v/>
      </c>
      <c r="R259" s="4" t="str">
        <f aca="false">IF(OR(Q259="",Rules!$F$2=""),"",IF(Q259&gt;=Rules!$F$2,"Yes","No"))</f>
        <v/>
      </c>
    </row>
    <row r="260" customFormat="false" ht="15" hidden="false" customHeight="false" outlineLevel="0" collapsed="false">
      <c r="H260" s="3"/>
      <c r="J260" s="3"/>
      <c r="K260" s="4" t="str">
        <f aca="false">IF(I260="","",IFERROR(VLOOKUP(I260,Rules!$A$2:$C$9,2,FALSE()),""))</f>
        <v/>
      </c>
      <c r="L260" s="5" t="str">
        <f aca="false">IF(OR(I260="",J260=""),"",IFERROR(J260+VLOOKUP(I260,Rules!$A$2:$C$9,3,FALSE()),""))</f>
        <v/>
      </c>
      <c r="M260" s="4" t="str">
        <f aca="true">IF(OR(L260="",I260="8 Closed"),"",IF(L260&lt;TODAY(),"OVERDUE",IF(L260-TODAY()&lt;=2,"Due soon","")))</f>
        <v/>
      </c>
      <c r="R260" s="4" t="str">
        <f aca="false">IF(OR(Q260="",Rules!$F$2=""),"",IF(Q260&gt;=Rules!$F$2,"Yes","No"))</f>
        <v/>
      </c>
    </row>
    <row r="261" customFormat="false" ht="15" hidden="false" customHeight="false" outlineLevel="0" collapsed="false">
      <c r="H261" s="3"/>
      <c r="J261" s="3"/>
      <c r="K261" s="4" t="str">
        <f aca="false">IF(I261="","",IFERROR(VLOOKUP(I261,Rules!$A$2:$C$9,2,FALSE()),""))</f>
        <v/>
      </c>
      <c r="L261" s="5" t="str">
        <f aca="false">IF(OR(I261="",J261=""),"",IFERROR(J261+VLOOKUP(I261,Rules!$A$2:$C$9,3,FALSE()),""))</f>
        <v/>
      </c>
      <c r="M261" s="4" t="str">
        <f aca="true">IF(OR(L261="",I261="8 Closed"),"",IF(L261&lt;TODAY(),"OVERDUE",IF(L261-TODAY()&lt;=2,"Due soon","")))</f>
        <v/>
      </c>
      <c r="R261" s="4" t="str">
        <f aca="false">IF(OR(Q261="",Rules!$F$2=""),"",IF(Q261&gt;=Rules!$F$2,"Yes","No"))</f>
        <v/>
      </c>
    </row>
    <row r="262" customFormat="false" ht="15" hidden="false" customHeight="false" outlineLevel="0" collapsed="false">
      <c r="H262" s="3"/>
      <c r="J262" s="3"/>
      <c r="K262" s="4" t="str">
        <f aca="false">IF(I262="","",IFERROR(VLOOKUP(I262,Rules!$A$2:$C$9,2,FALSE()),""))</f>
        <v/>
      </c>
      <c r="L262" s="5" t="str">
        <f aca="false">IF(OR(I262="",J262=""),"",IFERROR(J262+VLOOKUP(I262,Rules!$A$2:$C$9,3,FALSE()),""))</f>
        <v/>
      </c>
      <c r="M262" s="4" t="str">
        <f aca="true">IF(OR(L262="",I262="8 Closed"),"",IF(L262&lt;TODAY(),"OVERDUE",IF(L262-TODAY()&lt;=2,"Due soon","")))</f>
        <v/>
      </c>
      <c r="R262" s="4" t="str">
        <f aca="false">IF(OR(Q262="",Rules!$F$2=""),"",IF(Q262&gt;=Rules!$F$2,"Yes","No"))</f>
        <v/>
      </c>
    </row>
    <row r="263" customFormat="false" ht="15" hidden="false" customHeight="false" outlineLevel="0" collapsed="false">
      <c r="H263" s="3"/>
      <c r="J263" s="3"/>
      <c r="K263" s="4" t="str">
        <f aca="false">IF(I263="","",IFERROR(VLOOKUP(I263,Rules!$A$2:$C$9,2,FALSE()),""))</f>
        <v/>
      </c>
      <c r="L263" s="5" t="str">
        <f aca="false">IF(OR(I263="",J263=""),"",IFERROR(J263+VLOOKUP(I263,Rules!$A$2:$C$9,3,FALSE()),""))</f>
        <v/>
      </c>
      <c r="M263" s="4" t="str">
        <f aca="true">IF(OR(L263="",I263="8 Closed"),"",IF(L263&lt;TODAY(),"OVERDUE",IF(L263-TODAY()&lt;=2,"Due soon","")))</f>
        <v/>
      </c>
      <c r="R263" s="4" t="str">
        <f aca="false">IF(OR(Q263="",Rules!$F$2=""),"",IF(Q263&gt;=Rules!$F$2,"Yes","No"))</f>
        <v/>
      </c>
    </row>
    <row r="264" customFormat="false" ht="15" hidden="false" customHeight="false" outlineLevel="0" collapsed="false">
      <c r="H264" s="3"/>
      <c r="J264" s="3"/>
      <c r="K264" s="4" t="str">
        <f aca="false">IF(I264="","",IFERROR(VLOOKUP(I264,Rules!$A$2:$C$9,2,FALSE()),""))</f>
        <v/>
      </c>
      <c r="L264" s="5" t="str">
        <f aca="false">IF(OR(I264="",J264=""),"",IFERROR(J264+VLOOKUP(I264,Rules!$A$2:$C$9,3,FALSE()),""))</f>
        <v/>
      </c>
      <c r="M264" s="4" t="str">
        <f aca="true">IF(OR(L264="",I264="8 Closed"),"",IF(L264&lt;TODAY(),"OVERDUE",IF(L264-TODAY()&lt;=2,"Due soon","")))</f>
        <v/>
      </c>
      <c r="R264" s="4" t="str">
        <f aca="false">IF(OR(Q264="",Rules!$F$2=""),"",IF(Q264&gt;=Rules!$F$2,"Yes","No"))</f>
        <v/>
      </c>
    </row>
    <row r="265" customFormat="false" ht="15" hidden="false" customHeight="false" outlineLevel="0" collapsed="false">
      <c r="H265" s="3"/>
      <c r="J265" s="3"/>
      <c r="K265" s="4" t="str">
        <f aca="false">IF(I265="","",IFERROR(VLOOKUP(I265,Rules!$A$2:$C$9,2,FALSE()),""))</f>
        <v/>
      </c>
      <c r="L265" s="5" t="str">
        <f aca="false">IF(OR(I265="",J265=""),"",IFERROR(J265+VLOOKUP(I265,Rules!$A$2:$C$9,3,FALSE()),""))</f>
        <v/>
      </c>
      <c r="M265" s="4" t="str">
        <f aca="true">IF(OR(L265="",I265="8 Closed"),"",IF(L265&lt;TODAY(),"OVERDUE",IF(L265-TODAY()&lt;=2,"Due soon","")))</f>
        <v/>
      </c>
      <c r="R265" s="4" t="str">
        <f aca="false">IF(OR(Q265="",Rules!$F$2=""),"",IF(Q265&gt;=Rules!$F$2,"Yes","No"))</f>
        <v/>
      </c>
    </row>
    <row r="266" customFormat="false" ht="15" hidden="false" customHeight="false" outlineLevel="0" collapsed="false">
      <c r="H266" s="3"/>
      <c r="J266" s="3"/>
      <c r="K266" s="4" t="str">
        <f aca="false">IF(I266="","",IFERROR(VLOOKUP(I266,Rules!$A$2:$C$9,2,FALSE()),""))</f>
        <v/>
      </c>
      <c r="L266" s="5" t="str">
        <f aca="false">IF(OR(I266="",J266=""),"",IFERROR(J266+VLOOKUP(I266,Rules!$A$2:$C$9,3,FALSE()),""))</f>
        <v/>
      </c>
      <c r="M266" s="4" t="str">
        <f aca="true">IF(OR(L266="",I266="8 Closed"),"",IF(L266&lt;TODAY(),"OVERDUE",IF(L266-TODAY()&lt;=2,"Due soon","")))</f>
        <v/>
      </c>
      <c r="R266" s="4" t="str">
        <f aca="false">IF(OR(Q266="",Rules!$F$2=""),"",IF(Q266&gt;=Rules!$F$2,"Yes","No"))</f>
        <v/>
      </c>
    </row>
    <row r="267" customFormat="false" ht="15" hidden="false" customHeight="false" outlineLevel="0" collapsed="false">
      <c r="H267" s="3"/>
      <c r="J267" s="3"/>
      <c r="K267" s="4" t="str">
        <f aca="false">IF(I267="","",IFERROR(VLOOKUP(I267,Rules!$A$2:$C$9,2,FALSE()),""))</f>
        <v/>
      </c>
      <c r="L267" s="5" t="str">
        <f aca="false">IF(OR(I267="",J267=""),"",IFERROR(J267+VLOOKUP(I267,Rules!$A$2:$C$9,3,FALSE()),""))</f>
        <v/>
      </c>
      <c r="M267" s="4" t="str">
        <f aca="true">IF(OR(L267="",I267="8 Closed"),"",IF(L267&lt;TODAY(),"OVERDUE",IF(L267-TODAY()&lt;=2,"Due soon","")))</f>
        <v/>
      </c>
      <c r="R267" s="4" t="str">
        <f aca="false">IF(OR(Q267="",Rules!$F$2=""),"",IF(Q267&gt;=Rules!$F$2,"Yes","No"))</f>
        <v/>
      </c>
    </row>
    <row r="268" customFormat="false" ht="15" hidden="false" customHeight="false" outlineLevel="0" collapsed="false">
      <c r="H268" s="3"/>
      <c r="J268" s="3"/>
      <c r="K268" s="4" t="str">
        <f aca="false">IF(I268="","",IFERROR(VLOOKUP(I268,Rules!$A$2:$C$9,2,FALSE()),""))</f>
        <v/>
      </c>
      <c r="L268" s="5" t="str">
        <f aca="false">IF(OR(I268="",J268=""),"",IFERROR(J268+VLOOKUP(I268,Rules!$A$2:$C$9,3,FALSE()),""))</f>
        <v/>
      </c>
      <c r="M268" s="4" t="str">
        <f aca="true">IF(OR(L268="",I268="8 Closed"),"",IF(L268&lt;TODAY(),"OVERDUE",IF(L268-TODAY()&lt;=2,"Due soon","")))</f>
        <v/>
      </c>
      <c r="R268" s="4" t="str">
        <f aca="false">IF(OR(Q268="",Rules!$F$2=""),"",IF(Q268&gt;=Rules!$F$2,"Yes","No"))</f>
        <v/>
      </c>
    </row>
    <row r="269" customFormat="false" ht="15" hidden="false" customHeight="false" outlineLevel="0" collapsed="false">
      <c r="H269" s="3"/>
      <c r="J269" s="3"/>
      <c r="K269" s="4" t="str">
        <f aca="false">IF(I269="","",IFERROR(VLOOKUP(I269,Rules!$A$2:$C$9,2,FALSE()),""))</f>
        <v/>
      </c>
      <c r="L269" s="5" t="str">
        <f aca="false">IF(OR(I269="",J269=""),"",IFERROR(J269+VLOOKUP(I269,Rules!$A$2:$C$9,3,FALSE()),""))</f>
        <v/>
      </c>
      <c r="M269" s="4" t="str">
        <f aca="true">IF(OR(L269="",I269="8 Closed"),"",IF(L269&lt;TODAY(),"OVERDUE",IF(L269-TODAY()&lt;=2,"Due soon","")))</f>
        <v/>
      </c>
      <c r="R269" s="4" t="str">
        <f aca="false">IF(OR(Q269="",Rules!$F$2=""),"",IF(Q269&gt;=Rules!$F$2,"Yes","No"))</f>
        <v/>
      </c>
    </row>
    <row r="270" customFormat="false" ht="15" hidden="false" customHeight="false" outlineLevel="0" collapsed="false">
      <c r="H270" s="3"/>
      <c r="J270" s="3"/>
      <c r="K270" s="4" t="str">
        <f aca="false">IF(I270="","",IFERROR(VLOOKUP(I270,Rules!$A$2:$C$9,2,FALSE()),""))</f>
        <v/>
      </c>
      <c r="L270" s="5" t="str">
        <f aca="false">IF(OR(I270="",J270=""),"",IFERROR(J270+VLOOKUP(I270,Rules!$A$2:$C$9,3,FALSE()),""))</f>
        <v/>
      </c>
      <c r="M270" s="4" t="str">
        <f aca="true">IF(OR(L270="",I270="8 Closed"),"",IF(L270&lt;TODAY(),"OVERDUE",IF(L270-TODAY()&lt;=2,"Due soon","")))</f>
        <v/>
      </c>
      <c r="R270" s="4" t="str">
        <f aca="false">IF(OR(Q270="",Rules!$F$2=""),"",IF(Q270&gt;=Rules!$F$2,"Yes","No"))</f>
        <v/>
      </c>
    </row>
    <row r="271" customFormat="false" ht="15" hidden="false" customHeight="false" outlineLevel="0" collapsed="false">
      <c r="H271" s="3"/>
      <c r="J271" s="3"/>
      <c r="K271" s="4" t="str">
        <f aca="false">IF(I271="","",IFERROR(VLOOKUP(I271,Rules!$A$2:$C$9,2,FALSE()),""))</f>
        <v/>
      </c>
      <c r="L271" s="5" t="str">
        <f aca="false">IF(OR(I271="",J271=""),"",IFERROR(J271+VLOOKUP(I271,Rules!$A$2:$C$9,3,FALSE()),""))</f>
        <v/>
      </c>
      <c r="M271" s="4" t="str">
        <f aca="true">IF(OR(L271="",I271="8 Closed"),"",IF(L271&lt;TODAY(),"OVERDUE",IF(L271-TODAY()&lt;=2,"Due soon","")))</f>
        <v/>
      </c>
      <c r="R271" s="4" t="str">
        <f aca="false">IF(OR(Q271="",Rules!$F$2=""),"",IF(Q271&gt;=Rules!$F$2,"Yes","No"))</f>
        <v/>
      </c>
    </row>
    <row r="272" customFormat="false" ht="15" hidden="false" customHeight="false" outlineLevel="0" collapsed="false">
      <c r="H272" s="3"/>
      <c r="J272" s="3"/>
      <c r="K272" s="4" t="str">
        <f aca="false">IF(I272="","",IFERROR(VLOOKUP(I272,Rules!$A$2:$C$9,2,FALSE()),""))</f>
        <v/>
      </c>
      <c r="L272" s="5" t="str">
        <f aca="false">IF(OR(I272="",J272=""),"",IFERROR(J272+VLOOKUP(I272,Rules!$A$2:$C$9,3,FALSE()),""))</f>
        <v/>
      </c>
      <c r="M272" s="4" t="str">
        <f aca="true">IF(OR(L272="",I272="8 Closed"),"",IF(L272&lt;TODAY(),"OVERDUE",IF(L272-TODAY()&lt;=2,"Due soon","")))</f>
        <v/>
      </c>
      <c r="R272" s="4" t="str">
        <f aca="false">IF(OR(Q272="",Rules!$F$2=""),"",IF(Q272&gt;=Rules!$F$2,"Yes","No"))</f>
        <v/>
      </c>
    </row>
    <row r="273" customFormat="false" ht="15" hidden="false" customHeight="false" outlineLevel="0" collapsed="false">
      <c r="H273" s="3"/>
      <c r="J273" s="3"/>
      <c r="K273" s="4" t="str">
        <f aca="false">IF(I273="","",IFERROR(VLOOKUP(I273,Rules!$A$2:$C$9,2,FALSE()),""))</f>
        <v/>
      </c>
      <c r="L273" s="5" t="str">
        <f aca="false">IF(OR(I273="",J273=""),"",IFERROR(J273+VLOOKUP(I273,Rules!$A$2:$C$9,3,FALSE()),""))</f>
        <v/>
      </c>
      <c r="M273" s="4" t="str">
        <f aca="true">IF(OR(L273="",I273="8 Closed"),"",IF(L273&lt;TODAY(),"OVERDUE",IF(L273-TODAY()&lt;=2,"Due soon","")))</f>
        <v/>
      </c>
      <c r="R273" s="4" t="str">
        <f aca="false">IF(OR(Q273="",Rules!$F$2=""),"",IF(Q273&gt;=Rules!$F$2,"Yes","No"))</f>
        <v/>
      </c>
    </row>
    <row r="274" customFormat="false" ht="15" hidden="false" customHeight="false" outlineLevel="0" collapsed="false">
      <c r="H274" s="3"/>
      <c r="J274" s="3"/>
      <c r="K274" s="4" t="str">
        <f aca="false">IF(I274="","",IFERROR(VLOOKUP(I274,Rules!$A$2:$C$9,2,FALSE()),""))</f>
        <v/>
      </c>
      <c r="L274" s="5" t="str">
        <f aca="false">IF(OR(I274="",J274=""),"",IFERROR(J274+VLOOKUP(I274,Rules!$A$2:$C$9,3,FALSE()),""))</f>
        <v/>
      </c>
      <c r="M274" s="4" t="str">
        <f aca="true">IF(OR(L274="",I274="8 Closed"),"",IF(L274&lt;TODAY(),"OVERDUE",IF(L274-TODAY()&lt;=2,"Due soon","")))</f>
        <v/>
      </c>
      <c r="R274" s="4" t="str">
        <f aca="false">IF(OR(Q274="",Rules!$F$2=""),"",IF(Q274&gt;=Rules!$F$2,"Yes","No"))</f>
        <v/>
      </c>
    </row>
    <row r="275" customFormat="false" ht="15" hidden="false" customHeight="false" outlineLevel="0" collapsed="false">
      <c r="H275" s="3"/>
      <c r="J275" s="3"/>
      <c r="K275" s="4" t="str">
        <f aca="false">IF(I275="","",IFERROR(VLOOKUP(I275,Rules!$A$2:$C$9,2,FALSE()),""))</f>
        <v/>
      </c>
      <c r="L275" s="5" t="str">
        <f aca="false">IF(OR(I275="",J275=""),"",IFERROR(J275+VLOOKUP(I275,Rules!$A$2:$C$9,3,FALSE()),""))</f>
        <v/>
      </c>
      <c r="M275" s="4" t="str">
        <f aca="true">IF(OR(L275="",I275="8 Closed"),"",IF(L275&lt;TODAY(),"OVERDUE",IF(L275-TODAY()&lt;=2,"Due soon","")))</f>
        <v/>
      </c>
      <c r="R275" s="4" t="str">
        <f aca="false">IF(OR(Q275="",Rules!$F$2=""),"",IF(Q275&gt;=Rules!$F$2,"Yes","No"))</f>
        <v/>
      </c>
    </row>
    <row r="276" customFormat="false" ht="15" hidden="false" customHeight="false" outlineLevel="0" collapsed="false">
      <c r="H276" s="3"/>
      <c r="J276" s="3"/>
      <c r="K276" s="4" t="str">
        <f aca="false">IF(I276="","",IFERROR(VLOOKUP(I276,Rules!$A$2:$C$9,2,FALSE()),""))</f>
        <v/>
      </c>
      <c r="L276" s="5" t="str">
        <f aca="false">IF(OR(I276="",J276=""),"",IFERROR(J276+VLOOKUP(I276,Rules!$A$2:$C$9,3,FALSE()),""))</f>
        <v/>
      </c>
      <c r="M276" s="4" t="str">
        <f aca="true">IF(OR(L276="",I276="8 Closed"),"",IF(L276&lt;TODAY(),"OVERDUE",IF(L276-TODAY()&lt;=2,"Due soon","")))</f>
        <v/>
      </c>
      <c r="R276" s="4" t="str">
        <f aca="false">IF(OR(Q276="",Rules!$F$2=""),"",IF(Q276&gt;=Rules!$F$2,"Yes","No"))</f>
        <v/>
      </c>
    </row>
    <row r="277" customFormat="false" ht="15" hidden="false" customHeight="false" outlineLevel="0" collapsed="false">
      <c r="H277" s="3"/>
      <c r="J277" s="3"/>
      <c r="K277" s="4" t="str">
        <f aca="false">IF(I277="","",IFERROR(VLOOKUP(I277,Rules!$A$2:$C$9,2,FALSE()),""))</f>
        <v/>
      </c>
      <c r="L277" s="5" t="str">
        <f aca="false">IF(OR(I277="",J277=""),"",IFERROR(J277+VLOOKUP(I277,Rules!$A$2:$C$9,3,FALSE()),""))</f>
        <v/>
      </c>
      <c r="M277" s="4" t="str">
        <f aca="true">IF(OR(L277="",I277="8 Closed"),"",IF(L277&lt;TODAY(),"OVERDUE",IF(L277-TODAY()&lt;=2,"Due soon","")))</f>
        <v/>
      </c>
      <c r="R277" s="4" t="str">
        <f aca="false">IF(OR(Q277="",Rules!$F$2=""),"",IF(Q277&gt;=Rules!$F$2,"Yes","No"))</f>
        <v/>
      </c>
    </row>
    <row r="278" customFormat="false" ht="15" hidden="false" customHeight="false" outlineLevel="0" collapsed="false">
      <c r="H278" s="3"/>
      <c r="J278" s="3"/>
      <c r="K278" s="4" t="str">
        <f aca="false">IF(I278="","",IFERROR(VLOOKUP(I278,Rules!$A$2:$C$9,2,FALSE()),""))</f>
        <v/>
      </c>
      <c r="L278" s="5" t="str">
        <f aca="false">IF(OR(I278="",J278=""),"",IFERROR(J278+VLOOKUP(I278,Rules!$A$2:$C$9,3,FALSE()),""))</f>
        <v/>
      </c>
      <c r="M278" s="4" t="str">
        <f aca="true">IF(OR(L278="",I278="8 Closed"),"",IF(L278&lt;TODAY(),"OVERDUE",IF(L278-TODAY()&lt;=2,"Due soon","")))</f>
        <v/>
      </c>
      <c r="R278" s="4" t="str">
        <f aca="false">IF(OR(Q278="",Rules!$F$2=""),"",IF(Q278&gt;=Rules!$F$2,"Yes","No"))</f>
        <v/>
      </c>
    </row>
    <row r="279" customFormat="false" ht="15" hidden="false" customHeight="false" outlineLevel="0" collapsed="false">
      <c r="H279" s="3"/>
      <c r="J279" s="3"/>
      <c r="K279" s="4" t="str">
        <f aca="false">IF(I279="","",IFERROR(VLOOKUP(I279,Rules!$A$2:$C$9,2,FALSE()),""))</f>
        <v/>
      </c>
      <c r="L279" s="5" t="str">
        <f aca="false">IF(OR(I279="",J279=""),"",IFERROR(J279+VLOOKUP(I279,Rules!$A$2:$C$9,3,FALSE()),""))</f>
        <v/>
      </c>
      <c r="M279" s="4" t="str">
        <f aca="true">IF(OR(L279="",I279="8 Closed"),"",IF(L279&lt;TODAY(),"OVERDUE",IF(L279-TODAY()&lt;=2,"Due soon","")))</f>
        <v/>
      </c>
      <c r="R279" s="4" t="str">
        <f aca="false">IF(OR(Q279="",Rules!$F$2=""),"",IF(Q279&gt;=Rules!$F$2,"Yes","No"))</f>
        <v/>
      </c>
    </row>
    <row r="280" customFormat="false" ht="15" hidden="false" customHeight="false" outlineLevel="0" collapsed="false">
      <c r="H280" s="3"/>
      <c r="J280" s="3"/>
      <c r="K280" s="4" t="str">
        <f aca="false">IF(I280="","",IFERROR(VLOOKUP(I280,Rules!$A$2:$C$9,2,FALSE()),""))</f>
        <v/>
      </c>
      <c r="L280" s="5" t="str">
        <f aca="false">IF(OR(I280="",J280=""),"",IFERROR(J280+VLOOKUP(I280,Rules!$A$2:$C$9,3,FALSE()),""))</f>
        <v/>
      </c>
      <c r="M280" s="4" t="str">
        <f aca="true">IF(OR(L280="",I280="8 Closed"),"",IF(L280&lt;TODAY(),"OVERDUE",IF(L280-TODAY()&lt;=2,"Due soon","")))</f>
        <v/>
      </c>
      <c r="R280" s="4" t="str">
        <f aca="false">IF(OR(Q280="",Rules!$F$2=""),"",IF(Q280&gt;=Rules!$F$2,"Yes","No"))</f>
        <v/>
      </c>
    </row>
    <row r="281" customFormat="false" ht="15" hidden="false" customHeight="false" outlineLevel="0" collapsed="false">
      <c r="H281" s="3"/>
      <c r="J281" s="3"/>
      <c r="K281" s="4" t="str">
        <f aca="false">IF(I281="","",IFERROR(VLOOKUP(I281,Rules!$A$2:$C$9,2,FALSE()),""))</f>
        <v/>
      </c>
      <c r="L281" s="5" t="str">
        <f aca="false">IF(OR(I281="",J281=""),"",IFERROR(J281+VLOOKUP(I281,Rules!$A$2:$C$9,3,FALSE()),""))</f>
        <v/>
      </c>
      <c r="M281" s="4" t="str">
        <f aca="true">IF(OR(L281="",I281="8 Closed"),"",IF(L281&lt;TODAY(),"OVERDUE",IF(L281-TODAY()&lt;=2,"Due soon","")))</f>
        <v/>
      </c>
      <c r="R281" s="4" t="str">
        <f aca="false">IF(OR(Q281="",Rules!$F$2=""),"",IF(Q281&gt;=Rules!$F$2,"Yes","No"))</f>
        <v/>
      </c>
    </row>
    <row r="282" customFormat="false" ht="15" hidden="false" customHeight="false" outlineLevel="0" collapsed="false">
      <c r="H282" s="3"/>
      <c r="J282" s="3"/>
      <c r="K282" s="4" t="str">
        <f aca="false">IF(I282="","",IFERROR(VLOOKUP(I282,Rules!$A$2:$C$9,2,FALSE()),""))</f>
        <v/>
      </c>
      <c r="L282" s="5" t="str">
        <f aca="false">IF(OR(I282="",J282=""),"",IFERROR(J282+VLOOKUP(I282,Rules!$A$2:$C$9,3,FALSE()),""))</f>
        <v/>
      </c>
      <c r="M282" s="4" t="str">
        <f aca="true">IF(OR(L282="",I282="8 Closed"),"",IF(L282&lt;TODAY(),"OVERDUE",IF(L282-TODAY()&lt;=2,"Due soon","")))</f>
        <v/>
      </c>
      <c r="R282" s="4" t="str">
        <f aca="false">IF(OR(Q282="",Rules!$F$2=""),"",IF(Q282&gt;=Rules!$F$2,"Yes","No"))</f>
        <v/>
      </c>
    </row>
    <row r="283" customFormat="false" ht="15" hidden="false" customHeight="false" outlineLevel="0" collapsed="false">
      <c r="H283" s="3"/>
      <c r="J283" s="3"/>
      <c r="K283" s="4" t="str">
        <f aca="false">IF(I283="","",IFERROR(VLOOKUP(I283,Rules!$A$2:$C$9,2,FALSE()),""))</f>
        <v/>
      </c>
      <c r="L283" s="5" t="str">
        <f aca="false">IF(OR(I283="",J283=""),"",IFERROR(J283+VLOOKUP(I283,Rules!$A$2:$C$9,3,FALSE()),""))</f>
        <v/>
      </c>
      <c r="M283" s="4" t="str">
        <f aca="true">IF(OR(L283="",I283="8 Closed"),"",IF(L283&lt;TODAY(),"OVERDUE",IF(L283-TODAY()&lt;=2,"Due soon","")))</f>
        <v/>
      </c>
      <c r="R283" s="4" t="str">
        <f aca="false">IF(OR(Q283="",Rules!$F$2=""),"",IF(Q283&gt;=Rules!$F$2,"Yes","No"))</f>
        <v/>
      </c>
    </row>
    <row r="284" customFormat="false" ht="15" hidden="false" customHeight="false" outlineLevel="0" collapsed="false">
      <c r="H284" s="3"/>
      <c r="J284" s="3"/>
      <c r="K284" s="4" t="str">
        <f aca="false">IF(I284="","",IFERROR(VLOOKUP(I284,Rules!$A$2:$C$9,2,FALSE()),""))</f>
        <v/>
      </c>
      <c r="L284" s="5" t="str">
        <f aca="false">IF(OR(I284="",J284=""),"",IFERROR(J284+VLOOKUP(I284,Rules!$A$2:$C$9,3,FALSE()),""))</f>
        <v/>
      </c>
      <c r="M284" s="4" t="str">
        <f aca="true">IF(OR(L284="",I284="8 Closed"),"",IF(L284&lt;TODAY(),"OVERDUE",IF(L284-TODAY()&lt;=2,"Due soon","")))</f>
        <v/>
      </c>
      <c r="R284" s="4" t="str">
        <f aca="false">IF(OR(Q284="",Rules!$F$2=""),"",IF(Q284&gt;=Rules!$F$2,"Yes","No"))</f>
        <v/>
      </c>
    </row>
    <row r="285" customFormat="false" ht="15" hidden="false" customHeight="false" outlineLevel="0" collapsed="false">
      <c r="H285" s="3"/>
      <c r="J285" s="3"/>
      <c r="K285" s="4" t="str">
        <f aca="false">IF(I285="","",IFERROR(VLOOKUP(I285,Rules!$A$2:$C$9,2,FALSE()),""))</f>
        <v/>
      </c>
      <c r="L285" s="5" t="str">
        <f aca="false">IF(OR(I285="",J285=""),"",IFERROR(J285+VLOOKUP(I285,Rules!$A$2:$C$9,3,FALSE()),""))</f>
        <v/>
      </c>
      <c r="M285" s="4" t="str">
        <f aca="true">IF(OR(L285="",I285="8 Closed"),"",IF(L285&lt;TODAY(),"OVERDUE",IF(L285-TODAY()&lt;=2,"Due soon","")))</f>
        <v/>
      </c>
      <c r="R285" s="4" t="str">
        <f aca="false">IF(OR(Q285="",Rules!$F$2=""),"",IF(Q285&gt;=Rules!$F$2,"Yes","No"))</f>
        <v/>
      </c>
    </row>
    <row r="286" customFormat="false" ht="15" hidden="false" customHeight="false" outlineLevel="0" collapsed="false">
      <c r="H286" s="3"/>
      <c r="J286" s="3"/>
      <c r="K286" s="4" t="str">
        <f aca="false">IF(I286="","",IFERROR(VLOOKUP(I286,Rules!$A$2:$C$9,2,FALSE()),""))</f>
        <v/>
      </c>
      <c r="L286" s="5" t="str">
        <f aca="false">IF(OR(I286="",J286=""),"",IFERROR(J286+VLOOKUP(I286,Rules!$A$2:$C$9,3,FALSE()),""))</f>
        <v/>
      </c>
      <c r="M286" s="4" t="str">
        <f aca="true">IF(OR(L286="",I286="8 Closed"),"",IF(L286&lt;TODAY(),"OVERDUE",IF(L286-TODAY()&lt;=2,"Due soon","")))</f>
        <v/>
      </c>
      <c r="R286" s="4" t="str">
        <f aca="false">IF(OR(Q286="",Rules!$F$2=""),"",IF(Q286&gt;=Rules!$F$2,"Yes","No"))</f>
        <v/>
      </c>
    </row>
    <row r="287" customFormat="false" ht="15" hidden="false" customHeight="false" outlineLevel="0" collapsed="false">
      <c r="H287" s="3"/>
      <c r="J287" s="3"/>
      <c r="K287" s="4" t="str">
        <f aca="false">IF(I287="","",IFERROR(VLOOKUP(I287,Rules!$A$2:$C$9,2,FALSE()),""))</f>
        <v/>
      </c>
      <c r="L287" s="5" t="str">
        <f aca="false">IF(OR(I287="",J287=""),"",IFERROR(J287+VLOOKUP(I287,Rules!$A$2:$C$9,3,FALSE()),""))</f>
        <v/>
      </c>
      <c r="M287" s="4" t="str">
        <f aca="true">IF(OR(L287="",I287="8 Closed"),"",IF(L287&lt;TODAY(),"OVERDUE",IF(L287-TODAY()&lt;=2,"Due soon","")))</f>
        <v/>
      </c>
      <c r="R287" s="4" t="str">
        <f aca="false">IF(OR(Q287="",Rules!$F$2=""),"",IF(Q287&gt;=Rules!$F$2,"Yes","No"))</f>
        <v/>
      </c>
    </row>
    <row r="288" customFormat="false" ht="15" hidden="false" customHeight="false" outlineLevel="0" collapsed="false">
      <c r="H288" s="3"/>
      <c r="J288" s="3"/>
      <c r="K288" s="4" t="str">
        <f aca="false">IF(I288="","",IFERROR(VLOOKUP(I288,Rules!$A$2:$C$9,2,FALSE()),""))</f>
        <v/>
      </c>
      <c r="L288" s="5" t="str">
        <f aca="false">IF(OR(I288="",J288=""),"",IFERROR(J288+VLOOKUP(I288,Rules!$A$2:$C$9,3,FALSE()),""))</f>
        <v/>
      </c>
      <c r="M288" s="4" t="str">
        <f aca="true">IF(OR(L288="",I288="8 Closed"),"",IF(L288&lt;TODAY(),"OVERDUE",IF(L288-TODAY()&lt;=2,"Due soon","")))</f>
        <v/>
      </c>
      <c r="R288" s="4" t="str">
        <f aca="false">IF(OR(Q288="",Rules!$F$2=""),"",IF(Q288&gt;=Rules!$F$2,"Yes","No"))</f>
        <v/>
      </c>
    </row>
    <row r="289" customFormat="false" ht="15" hidden="false" customHeight="false" outlineLevel="0" collapsed="false">
      <c r="H289" s="3"/>
      <c r="J289" s="3"/>
      <c r="K289" s="4" t="str">
        <f aca="false">IF(I289="","",IFERROR(VLOOKUP(I289,Rules!$A$2:$C$9,2,FALSE()),""))</f>
        <v/>
      </c>
      <c r="L289" s="5" t="str">
        <f aca="false">IF(OR(I289="",J289=""),"",IFERROR(J289+VLOOKUP(I289,Rules!$A$2:$C$9,3,FALSE()),""))</f>
        <v/>
      </c>
      <c r="M289" s="4" t="str">
        <f aca="true">IF(OR(L289="",I289="8 Closed"),"",IF(L289&lt;TODAY(),"OVERDUE",IF(L289-TODAY()&lt;=2,"Due soon","")))</f>
        <v/>
      </c>
      <c r="R289" s="4" t="str">
        <f aca="false">IF(OR(Q289="",Rules!$F$2=""),"",IF(Q289&gt;=Rules!$F$2,"Yes","No"))</f>
        <v/>
      </c>
    </row>
    <row r="290" customFormat="false" ht="15" hidden="false" customHeight="false" outlineLevel="0" collapsed="false">
      <c r="H290" s="3"/>
      <c r="J290" s="3"/>
      <c r="K290" s="4" t="str">
        <f aca="false">IF(I290="","",IFERROR(VLOOKUP(I290,Rules!$A$2:$C$9,2,FALSE()),""))</f>
        <v/>
      </c>
      <c r="L290" s="5" t="str">
        <f aca="false">IF(OR(I290="",J290=""),"",IFERROR(J290+VLOOKUP(I290,Rules!$A$2:$C$9,3,FALSE()),""))</f>
        <v/>
      </c>
      <c r="M290" s="4" t="str">
        <f aca="true">IF(OR(L290="",I290="8 Closed"),"",IF(L290&lt;TODAY(),"OVERDUE",IF(L290-TODAY()&lt;=2,"Due soon","")))</f>
        <v/>
      </c>
      <c r="R290" s="4" t="str">
        <f aca="false">IF(OR(Q290="",Rules!$F$2=""),"",IF(Q290&gt;=Rules!$F$2,"Yes","No"))</f>
        <v/>
      </c>
    </row>
    <row r="291" customFormat="false" ht="15" hidden="false" customHeight="false" outlineLevel="0" collapsed="false">
      <c r="H291" s="3"/>
      <c r="J291" s="3"/>
      <c r="K291" s="4" t="str">
        <f aca="false">IF(I291="","",IFERROR(VLOOKUP(I291,Rules!$A$2:$C$9,2,FALSE()),""))</f>
        <v/>
      </c>
      <c r="L291" s="5" t="str">
        <f aca="false">IF(OR(I291="",J291=""),"",IFERROR(J291+VLOOKUP(I291,Rules!$A$2:$C$9,3,FALSE()),""))</f>
        <v/>
      </c>
      <c r="M291" s="4" t="str">
        <f aca="true">IF(OR(L291="",I291="8 Closed"),"",IF(L291&lt;TODAY(),"OVERDUE",IF(L291-TODAY()&lt;=2,"Due soon","")))</f>
        <v/>
      </c>
      <c r="R291" s="4" t="str">
        <f aca="false">IF(OR(Q291="",Rules!$F$2=""),"",IF(Q291&gt;=Rules!$F$2,"Yes","No"))</f>
        <v/>
      </c>
    </row>
    <row r="292" customFormat="false" ht="15" hidden="false" customHeight="false" outlineLevel="0" collapsed="false">
      <c r="H292" s="3"/>
      <c r="J292" s="3"/>
      <c r="K292" s="4" t="str">
        <f aca="false">IF(I292="","",IFERROR(VLOOKUP(I292,Rules!$A$2:$C$9,2,FALSE()),""))</f>
        <v/>
      </c>
      <c r="L292" s="5" t="str">
        <f aca="false">IF(OR(I292="",J292=""),"",IFERROR(J292+VLOOKUP(I292,Rules!$A$2:$C$9,3,FALSE()),""))</f>
        <v/>
      </c>
      <c r="M292" s="4" t="str">
        <f aca="true">IF(OR(L292="",I292="8 Closed"),"",IF(L292&lt;TODAY(),"OVERDUE",IF(L292-TODAY()&lt;=2,"Due soon","")))</f>
        <v/>
      </c>
      <c r="R292" s="4" t="str">
        <f aca="false">IF(OR(Q292="",Rules!$F$2=""),"",IF(Q292&gt;=Rules!$F$2,"Yes","No"))</f>
        <v/>
      </c>
    </row>
    <row r="293" customFormat="false" ht="15" hidden="false" customHeight="false" outlineLevel="0" collapsed="false">
      <c r="H293" s="3"/>
      <c r="J293" s="3"/>
      <c r="K293" s="4" t="str">
        <f aca="false">IF(I293="","",IFERROR(VLOOKUP(I293,Rules!$A$2:$C$9,2,FALSE()),""))</f>
        <v/>
      </c>
      <c r="L293" s="5" t="str">
        <f aca="false">IF(OR(I293="",J293=""),"",IFERROR(J293+VLOOKUP(I293,Rules!$A$2:$C$9,3,FALSE()),""))</f>
        <v/>
      </c>
      <c r="M293" s="4" t="str">
        <f aca="true">IF(OR(L293="",I293="8 Closed"),"",IF(L293&lt;TODAY(),"OVERDUE",IF(L293-TODAY()&lt;=2,"Due soon","")))</f>
        <v/>
      </c>
      <c r="R293" s="4" t="str">
        <f aca="false">IF(OR(Q293="",Rules!$F$2=""),"",IF(Q293&gt;=Rules!$F$2,"Yes","No"))</f>
        <v/>
      </c>
    </row>
    <row r="294" customFormat="false" ht="15" hidden="false" customHeight="false" outlineLevel="0" collapsed="false">
      <c r="H294" s="3"/>
      <c r="J294" s="3"/>
      <c r="K294" s="4" t="str">
        <f aca="false">IF(I294="","",IFERROR(VLOOKUP(I294,Rules!$A$2:$C$9,2,FALSE()),""))</f>
        <v/>
      </c>
      <c r="L294" s="5" t="str">
        <f aca="false">IF(OR(I294="",J294=""),"",IFERROR(J294+VLOOKUP(I294,Rules!$A$2:$C$9,3,FALSE()),""))</f>
        <v/>
      </c>
      <c r="M294" s="4" t="str">
        <f aca="true">IF(OR(L294="",I294="8 Closed"),"",IF(L294&lt;TODAY(),"OVERDUE",IF(L294-TODAY()&lt;=2,"Due soon","")))</f>
        <v/>
      </c>
      <c r="R294" s="4" t="str">
        <f aca="false">IF(OR(Q294="",Rules!$F$2=""),"",IF(Q294&gt;=Rules!$F$2,"Yes","No"))</f>
        <v/>
      </c>
    </row>
    <row r="295" customFormat="false" ht="15" hidden="false" customHeight="false" outlineLevel="0" collapsed="false">
      <c r="H295" s="3"/>
      <c r="J295" s="3"/>
      <c r="K295" s="4" t="str">
        <f aca="false">IF(I295="","",IFERROR(VLOOKUP(I295,Rules!$A$2:$C$9,2,FALSE()),""))</f>
        <v/>
      </c>
      <c r="L295" s="5" t="str">
        <f aca="false">IF(OR(I295="",J295=""),"",IFERROR(J295+VLOOKUP(I295,Rules!$A$2:$C$9,3,FALSE()),""))</f>
        <v/>
      </c>
      <c r="M295" s="4" t="str">
        <f aca="true">IF(OR(L295="",I295="8 Closed"),"",IF(L295&lt;TODAY(),"OVERDUE",IF(L295-TODAY()&lt;=2,"Due soon","")))</f>
        <v/>
      </c>
      <c r="R295" s="4" t="str">
        <f aca="false">IF(OR(Q295="",Rules!$F$2=""),"",IF(Q295&gt;=Rules!$F$2,"Yes","No"))</f>
        <v/>
      </c>
    </row>
    <row r="296" customFormat="false" ht="15" hidden="false" customHeight="false" outlineLevel="0" collapsed="false">
      <c r="H296" s="3"/>
      <c r="J296" s="3"/>
      <c r="K296" s="4" t="str">
        <f aca="false">IF(I296="","",IFERROR(VLOOKUP(I296,Rules!$A$2:$C$9,2,FALSE()),""))</f>
        <v/>
      </c>
      <c r="L296" s="5" t="str">
        <f aca="false">IF(OR(I296="",J296=""),"",IFERROR(J296+VLOOKUP(I296,Rules!$A$2:$C$9,3,FALSE()),""))</f>
        <v/>
      </c>
      <c r="M296" s="4" t="str">
        <f aca="true">IF(OR(L296="",I296="8 Closed"),"",IF(L296&lt;TODAY(),"OVERDUE",IF(L296-TODAY()&lt;=2,"Due soon","")))</f>
        <v/>
      </c>
      <c r="R296" s="4" t="str">
        <f aca="false">IF(OR(Q296="",Rules!$F$2=""),"",IF(Q296&gt;=Rules!$F$2,"Yes","No"))</f>
        <v/>
      </c>
    </row>
    <row r="297" customFormat="false" ht="15" hidden="false" customHeight="false" outlineLevel="0" collapsed="false">
      <c r="H297" s="3"/>
      <c r="J297" s="3"/>
      <c r="K297" s="4" t="str">
        <f aca="false">IF(I297="","",IFERROR(VLOOKUP(I297,Rules!$A$2:$C$9,2,FALSE()),""))</f>
        <v/>
      </c>
      <c r="L297" s="5" t="str">
        <f aca="false">IF(OR(I297="",J297=""),"",IFERROR(J297+VLOOKUP(I297,Rules!$A$2:$C$9,3,FALSE()),""))</f>
        <v/>
      </c>
      <c r="M297" s="4" t="str">
        <f aca="true">IF(OR(L297="",I297="8 Closed"),"",IF(L297&lt;TODAY(),"OVERDUE",IF(L297-TODAY()&lt;=2,"Due soon","")))</f>
        <v/>
      </c>
      <c r="R297" s="4" t="str">
        <f aca="false">IF(OR(Q297="",Rules!$F$2=""),"",IF(Q297&gt;=Rules!$F$2,"Yes","No"))</f>
        <v/>
      </c>
    </row>
    <row r="298" customFormat="false" ht="15" hidden="false" customHeight="false" outlineLevel="0" collapsed="false">
      <c r="H298" s="3"/>
      <c r="J298" s="3"/>
      <c r="K298" s="4" t="str">
        <f aca="false">IF(I298="","",IFERROR(VLOOKUP(I298,Rules!$A$2:$C$9,2,FALSE()),""))</f>
        <v/>
      </c>
      <c r="L298" s="5" t="str">
        <f aca="false">IF(OR(I298="",J298=""),"",IFERROR(J298+VLOOKUP(I298,Rules!$A$2:$C$9,3,FALSE()),""))</f>
        <v/>
      </c>
      <c r="M298" s="4" t="str">
        <f aca="true">IF(OR(L298="",I298="8 Closed"),"",IF(L298&lt;TODAY(),"OVERDUE",IF(L298-TODAY()&lt;=2,"Due soon","")))</f>
        <v/>
      </c>
      <c r="R298" s="4" t="str">
        <f aca="false">IF(OR(Q298="",Rules!$F$2=""),"",IF(Q298&gt;=Rules!$F$2,"Yes","No"))</f>
        <v/>
      </c>
    </row>
    <row r="299" customFormat="false" ht="15" hidden="false" customHeight="false" outlineLevel="0" collapsed="false">
      <c r="H299" s="3"/>
      <c r="J299" s="3"/>
      <c r="K299" s="4" t="str">
        <f aca="false">IF(I299="","",IFERROR(VLOOKUP(I299,Rules!$A$2:$C$9,2,FALSE()),""))</f>
        <v/>
      </c>
      <c r="L299" s="5" t="str">
        <f aca="false">IF(OR(I299="",J299=""),"",IFERROR(J299+VLOOKUP(I299,Rules!$A$2:$C$9,3,FALSE()),""))</f>
        <v/>
      </c>
      <c r="M299" s="4" t="str">
        <f aca="true">IF(OR(L299="",I299="8 Closed"),"",IF(L299&lt;TODAY(),"OVERDUE",IF(L299-TODAY()&lt;=2,"Due soon","")))</f>
        <v/>
      </c>
      <c r="R299" s="4" t="str">
        <f aca="false">IF(OR(Q299="",Rules!$F$2=""),"",IF(Q299&gt;=Rules!$F$2,"Yes","No"))</f>
        <v/>
      </c>
    </row>
    <row r="300" customFormat="false" ht="15" hidden="false" customHeight="false" outlineLevel="0" collapsed="false">
      <c r="H300" s="3"/>
      <c r="J300" s="3"/>
      <c r="K300" s="4" t="str">
        <f aca="false">IF(I300="","",IFERROR(VLOOKUP(I300,Rules!$A$2:$C$9,2,FALSE()),""))</f>
        <v/>
      </c>
      <c r="L300" s="5" t="str">
        <f aca="false">IF(OR(I300="",J300=""),"",IFERROR(J300+VLOOKUP(I300,Rules!$A$2:$C$9,3,FALSE()),""))</f>
        <v/>
      </c>
      <c r="M300" s="4" t="str">
        <f aca="true">IF(OR(L300="",I300="8 Closed"),"",IF(L300&lt;TODAY(),"OVERDUE",IF(L300-TODAY()&lt;=2,"Due soon","")))</f>
        <v/>
      </c>
      <c r="R300" s="4" t="str">
        <f aca="false">IF(OR(Q300="",Rules!$F$2=""),"",IF(Q300&gt;=Rules!$F$2,"Yes","No"))</f>
        <v/>
      </c>
    </row>
    <row r="301" customFormat="false" ht="15" hidden="false" customHeight="false" outlineLevel="0" collapsed="false">
      <c r="H301" s="3"/>
      <c r="J301" s="3"/>
      <c r="K301" s="4" t="str">
        <f aca="false">IF(I301="","",IFERROR(VLOOKUP(I301,Rules!$A$2:$C$9,2,FALSE()),""))</f>
        <v/>
      </c>
      <c r="L301" s="5" t="str">
        <f aca="false">IF(OR(I301="",J301=""),"",IFERROR(J301+VLOOKUP(I301,Rules!$A$2:$C$9,3,FALSE()),""))</f>
        <v/>
      </c>
      <c r="M301" s="4" t="str">
        <f aca="true">IF(OR(L301="",I301="8 Closed"),"",IF(L301&lt;TODAY(),"OVERDUE",IF(L301-TODAY()&lt;=2,"Due soon","")))</f>
        <v/>
      </c>
      <c r="R301" s="4" t="str">
        <f aca="false">IF(OR(Q301="",Rules!$F$2=""),"",IF(Q301&gt;=Rules!$F$2,"Yes","No"))</f>
        <v/>
      </c>
    </row>
  </sheetData>
  <dataValidations count="7">
    <dataValidation allowBlank="true" errorStyle="stop" operator="between" showDropDown="false" showErrorMessage="false" showInputMessage="false" sqref="I2:I301" type="list">
      <formula1>Rules!$A$2:$A$9</formula1>
      <formula2>0</formula2>
    </dataValidation>
    <dataValidation allowBlank="true" errorStyle="stop" operator="between" showDropDown="false" showErrorMessage="false" showInputMessage="false" sqref="D2:D301" type="list">
      <formula1>Rules!$I$2:$I$20</formula1>
      <formula2>0</formula2>
    </dataValidation>
    <dataValidation allowBlank="true" errorStyle="stop" operator="between" showDropDown="false" showErrorMessage="false" showInputMessage="false" sqref="G2:G301" type="list">
      <formula1>Rules!$J$2:$J$20</formula1>
      <formula2>0</formula2>
    </dataValidation>
    <dataValidation allowBlank="true" errorStyle="stop" operator="between" showDropDown="false" showErrorMessage="false" showInputMessage="false" sqref="P2:P301" type="list">
      <formula1>Rules!$K$2:$K$20</formula1>
      <formula2>0</formula2>
    </dataValidation>
    <dataValidation allowBlank="true" errorStyle="stop" operator="between" showDropDown="false" showErrorMessage="false" showInputMessage="false" sqref="V2:V301" type="list">
      <formula1>Rules!$L$2:$L$20</formula1>
      <formula2>0</formula2>
    </dataValidation>
    <dataValidation allowBlank="true" errorStyle="stop" operator="between" showDropDown="false" showErrorMessage="false" showInputMessage="false" sqref="E2:E301" type="list">
      <formula1>Rules!$O$2:$O$20</formula1>
      <formula2>0</formula2>
    </dataValidation>
    <dataValidation allowBlank="true" errorStyle="stop" operator="between" showDropDown="false" showErrorMessage="false" showInputMessage="false" sqref="N2:O30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</cols>
  <sheetData>
    <row r="1" customFormat="false" ht="31.5" hidden="false" customHeight="true" outlineLevel="0" collapsed="false">
      <c r="A1" s="1" t="s">
        <v>24</v>
      </c>
      <c r="B1" s="1" t="s">
        <v>25</v>
      </c>
      <c r="C1" s="2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2" t="s">
        <v>12</v>
      </c>
      <c r="N1" s="1" t="s">
        <v>23</v>
      </c>
    </row>
    <row r="2" customFormat="false" ht="15" hidden="false" customHeight="false" outlineLevel="0" collapsed="false">
      <c r="C2" s="4" t="str">
        <f aca="false">IF(B2="","",IFERROR(INDEX(Opportunities!$B:$B,MATCH(B2,Opportunities!$A:$A,0)),""))</f>
        <v/>
      </c>
      <c r="J2" s="3"/>
      <c r="L2" s="3"/>
      <c r="M2" s="4" t="str">
        <f aca="true">IF(OR(L2="",K2="Replied",K2="Referred",K2="Declined"),"",IF(L2&lt;TODAY(),"OVERDUE",IF(L2-TODAY()&lt;=2,"Due soon","")))</f>
        <v/>
      </c>
    </row>
    <row r="3" customFormat="false" ht="15" hidden="false" customHeight="false" outlineLevel="0" collapsed="false">
      <c r="C3" s="4" t="str">
        <f aca="false">IF(B3="","",IFERROR(INDEX(Opportunities!$B:$B,MATCH(B3,Opportunities!$A:$A,0)),""))</f>
        <v/>
      </c>
      <c r="J3" s="3"/>
      <c r="L3" s="3"/>
      <c r="M3" s="4" t="str">
        <f aca="true">IF(OR(L3="",K3="Replied",K3="Referred",K3="Declined"),"",IF(L3&lt;TODAY(),"OVERDUE",IF(L3-TODAY()&lt;=2,"Due soon","")))</f>
        <v/>
      </c>
    </row>
    <row r="4" customFormat="false" ht="15" hidden="false" customHeight="false" outlineLevel="0" collapsed="false">
      <c r="C4" s="4" t="str">
        <f aca="false">IF(B4="","",IFERROR(INDEX(Opportunities!$B:$B,MATCH(B4,Opportunities!$A:$A,0)),""))</f>
        <v/>
      </c>
      <c r="J4" s="3"/>
      <c r="L4" s="3"/>
      <c r="M4" s="4" t="str">
        <f aca="true">IF(OR(L4="",K4="Replied",K4="Referred",K4="Declined"),"",IF(L4&lt;TODAY(),"OVERDUE",IF(L4-TODAY()&lt;=2,"Due soon","")))</f>
        <v/>
      </c>
    </row>
    <row r="5" customFormat="false" ht="15" hidden="false" customHeight="false" outlineLevel="0" collapsed="false">
      <c r="C5" s="4" t="str">
        <f aca="false">IF(B5="","",IFERROR(INDEX(Opportunities!$B:$B,MATCH(B5,Opportunities!$A:$A,0)),""))</f>
        <v/>
      </c>
      <c r="J5" s="3"/>
      <c r="L5" s="3"/>
      <c r="M5" s="4" t="str">
        <f aca="true">IF(OR(L5="",K5="Replied",K5="Referred",K5="Declined"),"",IF(L5&lt;TODAY(),"OVERDUE",IF(L5-TODAY()&lt;=2,"Due soon","")))</f>
        <v/>
      </c>
    </row>
    <row r="6" customFormat="false" ht="15" hidden="false" customHeight="false" outlineLevel="0" collapsed="false">
      <c r="C6" s="4" t="str">
        <f aca="false">IF(B6="","",IFERROR(INDEX(Opportunities!$B:$B,MATCH(B6,Opportunities!$A:$A,0)),""))</f>
        <v/>
      </c>
      <c r="J6" s="3"/>
      <c r="L6" s="3"/>
      <c r="M6" s="4" t="str">
        <f aca="true">IF(OR(L6="",K6="Replied",K6="Referred",K6="Declined"),"",IF(L6&lt;TODAY(),"OVERDUE",IF(L6-TODAY()&lt;=2,"Due soon","")))</f>
        <v/>
      </c>
    </row>
    <row r="7" customFormat="false" ht="15" hidden="false" customHeight="false" outlineLevel="0" collapsed="false">
      <c r="C7" s="4" t="str">
        <f aca="false">IF(B7="","",IFERROR(INDEX(Opportunities!$B:$B,MATCH(B7,Opportunities!$A:$A,0)),""))</f>
        <v/>
      </c>
      <c r="J7" s="3"/>
      <c r="L7" s="3"/>
      <c r="M7" s="4" t="str">
        <f aca="true">IF(OR(L7="",K7="Replied",K7="Referred",K7="Declined"),"",IF(L7&lt;TODAY(),"OVERDUE",IF(L7-TODAY()&lt;=2,"Due soon","")))</f>
        <v/>
      </c>
    </row>
    <row r="8" customFormat="false" ht="15" hidden="false" customHeight="false" outlineLevel="0" collapsed="false">
      <c r="C8" s="4" t="str">
        <f aca="false">IF(B8="","",IFERROR(INDEX(Opportunities!$B:$B,MATCH(B8,Opportunities!$A:$A,0)),""))</f>
        <v/>
      </c>
      <c r="J8" s="3"/>
      <c r="L8" s="3"/>
      <c r="M8" s="4" t="str">
        <f aca="true">IF(OR(L8="",K8="Replied",K8="Referred",K8="Declined"),"",IF(L8&lt;TODAY(),"OVERDUE",IF(L8-TODAY()&lt;=2,"Due soon","")))</f>
        <v/>
      </c>
    </row>
    <row r="9" customFormat="false" ht="15" hidden="false" customHeight="false" outlineLevel="0" collapsed="false">
      <c r="C9" s="4" t="str">
        <f aca="false">IF(B9="","",IFERROR(INDEX(Opportunities!$B:$B,MATCH(B9,Opportunities!$A:$A,0)),""))</f>
        <v/>
      </c>
      <c r="J9" s="3"/>
      <c r="L9" s="3"/>
      <c r="M9" s="4" t="str">
        <f aca="true">IF(OR(L9="",K9="Replied",K9="Referred",K9="Declined"),"",IF(L9&lt;TODAY(),"OVERDUE",IF(L9-TODAY()&lt;=2,"Due soon","")))</f>
        <v/>
      </c>
    </row>
    <row r="10" customFormat="false" ht="15" hidden="false" customHeight="false" outlineLevel="0" collapsed="false">
      <c r="C10" s="4" t="str">
        <f aca="false">IF(B10="","",IFERROR(INDEX(Opportunities!$B:$B,MATCH(B10,Opportunities!$A:$A,0)),""))</f>
        <v/>
      </c>
      <c r="J10" s="3"/>
      <c r="L10" s="3"/>
      <c r="M10" s="4" t="str">
        <f aca="true">IF(OR(L10="",K10="Replied",K10="Referred",K10="Declined"),"",IF(L10&lt;TODAY(),"OVERDUE",IF(L10-TODAY()&lt;=2,"Due soon","")))</f>
        <v/>
      </c>
    </row>
    <row r="11" customFormat="false" ht="15" hidden="false" customHeight="false" outlineLevel="0" collapsed="false">
      <c r="C11" s="4" t="str">
        <f aca="false">IF(B11="","",IFERROR(INDEX(Opportunities!$B:$B,MATCH(B11,Opportunities!$A:$A,0)),""))</f>
        <v/>
      </c>
      <c r="J11" s="3"/>
      <c r="L11" s="3"/>
      <c r="M11" s="4" t="str">
        <f aca="true">IF(OR(L11="",K11="Replied",K11="Referred",K11="Declined"),"",IF(L11&lt;TODAY(),"OVERDUE",IF(L11-TODAY()&lt;=2,"Due soon","")))</f>
        <v/>
      </c>
    </row>
    <row r="12" customFormat="false" ht="15" hidden="false" customHeight="false" outlineLevel="0" collapsed="false">
      <c r="C12" s="4" t="str">
        <f aca="false">IF(B12="","",IFERROR(INDEX(Opportunities!$B:$B,MATCH(B12,Opportunities!$A:$A,0)),""))</f>
        <v/>
      </c>
      <c r="J12" s="3"/>
      <c r="L12" s="3"/>
      <c r="M12" s="4" t="str">
        <f aca="true">IF(OR(L12="",K12="Replied",K12="Referred",K12="Declined"),"",IF(L12&lt;TODAY(),"OVERDUE",IF(L12-TODAY()&lt;=2,"Due soon","")))</f>
        <v/>
      </c>
    </row>
    <row r="13" customFormat="false" ht="15" hidden="false" customHeight="false" outlineLevel="0" collapsed="false">
      <c r="C13" s="4" t="str">
        <f aca="false">IF(B13="","",IFERROR(INDEX(Opportunities!$B:$B,MATCH(B13,Opportunities!$A:$A,0)),""))</f>
        <v/>
      </c>
      <c r="J13" s="3"/>
      <c r="L13" s="3"/>
      <c r="M13" s="4" t="str">
        <f aca="true">IF(OR(L13="",K13="Replied",K13="Referred",K13="Declined"),"",IF(L13&lt;TODAY(),"OVERDUE",IF(L13-TODAY()&lt;=2,"Due soon","")))</f>
        <v/>
      </c>
    </row>
    <row r="14" customFormat="false" ht="15" hidden="false" customHeight="false" outlineLevel="0" collapsed="false">
      <c r="C14" s="4" t="str">
        <f aca="false">IF(B14="","",IFERROR(INDEX(Opportunities!$B:$B,MATCH(B14,Opportunities!$A:$A,0)),""))</f>
        <v/>
      </c>
      <c r="J14" s="3"/>
      <c r="L14" s="3"/>
      <c r="M14" s="4" t="str">
        <f aca="true">IF(OR(L14="",K14="Replied",K14="Referred",K14="Declined"),"",IF(L14&lt;TODAY(),"OVERDUE",IF(L14-TODAY()&lt;=2,"Due soon","")))</f>
        <v/>
      </c>
    </row>
    <row r="15" customFormat="false" ht="15" hidden="false" customHeight="false" outlineLevel="0" collapsed="false">
      <c r="C15" s="4" t="str">
        <f aca="false">IF(B15="","",IFERROR(INDEX(Opportunities!$B:$B,MATCH(B15,Opportunities!$A:$A,0)),""))</f>
        <v/>
      </c>
      <c r="J15" s="3"/>
      <c r="L15" s="3"/>
      <c r="M15" s="4" t="str">
        <f aca="true">IF(OR(L15="",K15="Replied",K15="Referred",K15="Declined"),"",IF(L15&lt;TODAY(),"OVERDUE",IF(L15-TODAY()&lt;=2,"Due soon","")))</f>
        <v/>
      </c>
    </row>
    <row r="16" customFormat="false" ht="15" hidden="false" customHeight="false" outlineLevel="0" collapsed="false">
      <c r="C16" s="4" t="str">
        <f aca="false">IF(B16="","",IFERROR(INDEX(Opportunities!$B:$B,MATCH(B16,Opportunities!$A:$A,0)),""))</f>
        <v/>
      </c>
      <c r="J16" s="3"/>
      <c r="L16" s="3"/>
      <c r="M16" s="4" t="str">
        <f aca="true">IF(OR(L16="",K16="Replied",K16="Referred",K16="Declined"),"",IF(L16&lt;TODAY(),"OVERDUE",IF(L16-TODAY()&lt;=2,"Due soon","")))</f>
        <v/>
      </c>
    </row>
    <row r="17" customFormat="false" ht="15" hidden="false" customHeight="false" outlineLevel="0" collapsed="false">
      <c r="C17" s="4" t="str">
        <f aca="false">IF(B17="","",IFERROR(INDEX(Opportunities!$B:$B,MATCH(B17,Opportunities!$A:$A,0)),""))</f>
        <v/>
      </c>
      <c r="J17" s="3"/>
      <c r="L17" s="3"/>
      <c r="M17" s="4" t="str">
        <f aca="true">IF(OR(L17="",K17="Replied",K17="Referred",K17="Declined"),"",IF(L17&lt;TODAY(),"OVERDUE",IF(L17-TODAY()&lt;=2,"Due soon","")))</f>
        <v/>
      </c>
    </row>
    <row r="18" customFormat="false" ht="15" hidden="false" customHeight="false" outlineLevel="0" collapsed="false">
      <c r="C18" s="4" t="str">
        <f aca="false">IF(B18="","",IFERROR(INDEX(Opportunities!$B:$B,MATCH(B18,Opportunities!$A:$A,0)),""))</f>
        <v/>
      </c>
      <c r="J18" s="3"/>
      <c r="L18" s="3"/>
      <c r="M18" s="4" t="str">
        <f aca="true">IF(OR(L18="",K18="Replied",K18="Referred",K18="Declined"),"",IF(L18&lt;TODAY(),"OVERDUE",IF(L18-TODAY()&lt;=2,"Due soon","")))</f>
        <v/>
      </c>
    </row>
    <row r="19" customFormat="false" ht="15" hidden="false" customHeight="false" outlineLevel="0" collapsed="false">
      <c r="C19" s="4" t="str">
        <f aca="false">IF(B19="","",IFERROR(INDEX(Opportunities!$B:$B,MATCH(B19,Opportunities!$A:$A,0)),""))</f>
        <v/>
      </c>
      <c r="J19" s="3"/>
      <c r="L19" s="3"/>
      <c r="M19" s="4" t="str">
        <f aca="true">IF(OR(L19="",K19="Replied",K19="Referred",K19="Declined"),"",IF(L19&lt;TODAY(),"OVERDUE",IF(L19-TODAY()&lt;=2,"Due soon","")))</f>
        <v/>
      </c>
    </row>
    <row r="20" customFormat="false" ht="15" hidden="false" customHeight="false" outlineLevel="0" collapsed="false">
      <c r="C20" s="4" t="str">
        <f aca="false">IF(B20="","",IFERROR(INDEX(Opportunities!$B:$B,MATCH(B20,Opportunities!$A:$A,0)),""))</f>
        <v/>
      </c>
      <c r="J20" s="3"/>
      <c r="L20" s="3"/>
      <c r="M20" s="4" t="str">
        <f aca="true">IF(OR(L20="",K20="Replied",K20="Referred",K20="Declined"),"",IF(L20&lt;TODAY(),"OVERDUE",IF(L20-TODAY()&lt;=2,"Due soon","")))</f>
        <v/>
      </c>
    </row>
    <row r="21" customFormat="false" ht="15" hidden="false" customHeight="false" outlineLevel="0" collapsed="false">
      <c r="C21" s="4" t="str">
        <f aca="false">IF(B21="","",IFERROR(INDEX(Opportunities!$B:$B,MATCH(B21,Opportunities!$A:$A,0)),""))</f>
        <v/>
      </c>
      <c r="J21" s="3"/>
      <c r="L21" s="3"/>
      <c r="M21" s="4" t="str">
        <f aca="true">IF(OR(L21="",K21="Replied",K21="Referred",K21="Declined"),"",IF(L21&lt;TODAY(),"OVERDUE",IF(L21-TODAY()&lt;=2,"Due soon","")))</f>
        <v/>
      </c>
    </row>
    <row r="22" customFormat="false" ht="15" hidden="false" customHeight="false" outlineLevel="0" collapsed="false">
      <c r="C22" s="4" t="str">
        <f aca="false">IF(B22="","",IFERROR(INDEX(Opportunities!$B:$B,MATCH(B22,Opportunities!$A:$A,0)),""))</f>
        <v/>
      </c>
      <c r="J22" s="3"/>
      <c r="L22" s="3"/>
      <c r="M22" s="4" t="str">
        <f aca="true">IF(OR(L22="",K22="Replied",K22="Referred",K22="Declined"),"",IF(L22&lt;TODAY(),"OVERDUE",IF(L22-TODAY()&lt;=2,"Due soon","")))</f>
        <v/>
      </c>
    </row>
    <row r="23" customFormat="false" ht="15" hidden="false" customHeight="false" outlineLevel="0" collapsed="false">
      <c r="C23" s="4" t="str">
        <f aca="false">IF(B23="","",IFERROR(INDEX(Opportunities!$B:$B,MATCH(B23,Opportunities!$A:$A,0)),""))</f>
        <v/>
      </c>
      <c r="J23" s="3"/>
      <c r="L23" s="3"/>
      <c r="M23" s="4" t="str">
        <f aca="true">IF(OR(L23="",K23="Replied",K23="Referred",K23="Declined"),"",IF(L23&lt;TODAY(),"OVERDUE",IF(L23-TODAY()&lt;=2,"Due soon","")))</f>
        <v/>
      </c>
    </row>
    <row r="24" customFormat="false" ht="15" hidden="false" customHeight="false" outlineLevel="0" collapsed="false">
      <c r="C24" s="4" t="str">
        <f aca="false">IF(B24="","",IFERROR(INDEX(Opportunities!$B:$B,MATCH(B24,Opportunities!$A:$A,0)),""))</f>
        <v/>
      </c>
      <c r="J24" s="3"/>
      <c r="L24" s="3"/>
      <c r="M24" s="4" t="str">
        <f aca="true">IF(OR(L24="",K24="Replied",K24="Referred",K24="Declined"),"",IF(L24&lt;TODAY(),"OVERDUE",IF(L24-TODAY()&lt;=2,"Due soon","")))</f>
        <v/>
      </c>
    </row>
    <row r="25" customFormat="false" ht="15" hidden="false" customHeight="false" outlineLevel="0" collapsed="false">
      <c r="C25" s="4" t="str">
        <f aca="false">IF(B25="","",IFERROR(INDEX(Opportunities!$B:$B,MATCH(B25,Opportunities!$A:$A,0)),""))</f>
        <v/>
      </c>
      <c r="J25" s="3"/>
      <c r="L25" s="3"/>
      <c r="M25" s="4" t="str">
        <f aca="true">IF(OR(L25="",K25="Replied",K25="Referred",K25="Declined"),"",IF(L25&lt;TODAY(),"OVERDUE",IF(L25-TODAY()&lt;=2,"Due soon","")))</f>
        <v/>
      </c>
    </row>
    <row r="26" customFormat="false" ht="15" hidden="false" customHeight="false" outlineLevel="0" collapsed="false">
      <c r="C26" s="4" t="str">
        <f aca="false">IF(B26="","",IFERROR(INDEX(Opportunities!$B:$B,MATCH(B26,Opportunities!$A:$A,0)),""))</f>
        <v/>
      </c>
      <c r="J26" s="3"/>
      <c r="L26" s="3"/>
      <c r="M26" s="4" t="str">
        <f aca="true">IF(OR(L26="",K26="Replied",K26="Referred",K26="Declined"),"",IF(L26&lt;TODAY(),"OVERDUE",IF(L26-TODAY()&lt;=2,"Due soon","")))</f>
        <v/>
      </c>
    </row>
    <row r="27" customFormat="false" ht="15" hidden="false" customHeight="false" outlineLevel="0" collapsed="false">
      <c r="C27" s="4" t="str">
        <f aca="false">IF(B27="","",IFERROR(INDEX(Opportunities!$B:$B,MATCH(B27,Opportunities!$A:$A,0)),""))</f>
        <v/>
      </c>
      <c r="J27" s="3"/>
      <c r="L27" s="3"/>
      <c r="M27" s="4" t="str">
        <f aca="true">IF(OR(L27="",K27="Replied",K27="Referred",K27="Declined"),"",IF(L27&lt;TODAY(),"OVERDUE",IF(L27-TODAY()&lt;=2,"Due soon","")))</f>
        <v/>
      </c>
    </row>
    <row r="28" customFormat="false" ht="15" hidden="false" customHeight="false" outlineLevel="0" collapsed="false">
      <c r="C28" s="4" t="str">
        <f aca="false">IF(B28="","",IFERROR(INDEX(Opportunities!$B:$B,MATCH(B28,Opportunities!$A:$A,0)),""))</f>
        <v/>
      </c>
      <c r="J28" s="3"/>
      <c r="L28" s="3"/>
      <c r="M28" s="4" t="str">
        <f aca="true">IF(OR(L28="",K28="Replied",K28="Referred",K28="Declined"),"",IF(L28&lt;TODAY(),"OVERDUE",IF(L28-TODAY()&lt;=2,"Due soon","")))</f>
        <v/>
      </c>
    </row>
    <row r="29" customFormat="false" ht="15" hidden="false" customHeight="false" outlineLevel="0" collapsed="false">
      <c r="C29" s="4" t="str">
        <f aca="false">IF(B29="","",IFERROR(INDEX(Opportunities!$B:$B,MATCH(B29,Opportunities!$A:$A,0)),""))</f>
        <v/>
      </c>
      <c r="J29" s="3"/>
      <c r="L29" s="3"/>
      <c r="M29" s="4" t="str">
        <f aca="true">IF(OR(L29="",K29="Replied",K29="Referred",K29="Declined"),"",IF(L29&lt;TODAY(),"OVERDUE",IF(L29-TODAY()&lt;=2,"Due soon","")))</f>
        <v/>
      </c>
    </row>
    <row r="30" customFormat="false" ht="15" hidden="false" customHeight="false" outlineLevel="0" collapsed="false">
      <c r="C30" s="4" t="str">
        <f aca="false">IF(B30="","",IFERROR(INDEX(Opportunities!$B:$B,MATCH(B30,Opportunities!$A:$A,0)),""))</f>
        <v/>
      </c>
      <c r="J30" s="3"/>
      <c r="L30" s="3"/>
      <c r="M30" s="4" t="str">
        <f aca="true">IF(OR(L30="",K30="Replied",K30="Referred",K30="Declined"),"",IF(L30&lt;TODAY(),"OVERDUE",IF(L30-TODAY()&lt;=2,"Due soon","")))</f>
        <v/>
      </c>
    </row>
    <row r="31" customFormat="false" ht="15" hidden="false" customHeight="false" outlineLevel="0" collapsed="false">
      <c r="C31" s="4" t="str">
        <f aca="false">IF(B31="","",IFERROR(INDEX(Opportunities!$B:$B,MATCH(B31,Opportunities!$A:$A,0)),""))</f>
        <v/>
      </c>
      <c r="J31" s="3"/>
      <c r="L31" s="3"/>
      <c r="M31" s="4" t="str">
        <f aca="true">IF(OR(L31="",K31="Replied",K31="Referred",K31="Declined"),"",IF(L31&lt;TODAY(),"OVERDUE",IF(L31-TODAY()&lt;=2,"Due soon","")))</f>
        <v/>
      </c>
    </row>
    <row r="32" customFormat="false" ht="15" hidden="false" customHeight="false" outlineLevel="0" collapsed="false">
      <c r="C32" s="4" t="str">
        <f aca="false">IF(B32="","",IFERROR(INDEX(Opportunities!$B:$B,MATCH(B32,Opportunities!$A:$A,0)),""))</f>
        <v/>
      </c>
      <c r="J32" s="3"/>
      <c r="L32" s="3"/>
      <c r="M32" s="4" t="str">
        <f aca="true">IF(OR(L32="",K32="Replied",K32="Referred",K32="Declined"),"",IF(L32&lt;TODAY(),"OVERDUE",IF(L32-TODAY()&lt;=2,"Due soon","")))</f>
        <v/>
      </c>
    </row>
    <row r="33" customFormat="false" ht="15" hidden="false" customHeight="false" outlineLevel="0" collapsed="false">
      <c r="C33" s="4" t="str">
        <f aca="false">IF(B33="","",IFERROR(INDEX(Opportunities!$B:$B,MATCH(B33,Opportunities!$A:$A,0)),""))</f>
        <v/>
      </c>
      <c r="J33" s="3"/>
      <c r="L33" s="3"/>
      <c r="M33" s="4" t="str">
        <f aca="true">IF(OR(L33="",K33="Replied",K33="Referred",K33="Declined"),"",IF(L33&lt;TODAY(),"OVERDUE",IF(L33-TODAY()&lt;=2,"Due soon","")))</f>
        <v/>
      </c>
    </row>
    <row r="34" customFormat="false" ht="15" hidden="false" customHeight="false" outlineLevel="0" collapsed="false">
      <c r="C34" s="4" t="str">
        <f aca="false">IF(B34="","",IFERROR(INDEX(Opportunities!$B:$B,MATCH(B34,Opportunities!$A:$A,0)),""))</f>
        <v/>
      </c>
      <c r="J34" s="3"/>
      <c r="L34" s="3"/>
      <c r="M34" s="4" t="str">
        <f aca="true">IF(OR(L34="",K34="Replied",K34="Referred",K34="Declined"),"",IF(L34&lt;TODAY(),"OVERDUE",IF(L34-TODAY()&lt;=2,"Due soon","")))</f>
        <v/>
      </c>
    </row>
    <row r="35" customFormat="false" ht="15" hidden="false" customHeight="false" outlineLevel="0" collapsed="false">
      <c r="C35" s="4" t="str">
        <f aca="false">IF(B35="","",IFERROR(INDEX(Opportunities!$B:$B,MATCH(B35,Opportunities!$A:$A,0)),""))</f>
        <v/>
      </c>
      <c r="J35" s="3"/>
      <c r="L35" s="3"/>
      <c r="M35" s="4" t="str">
        <f aca="true">IF(OR(L35="",K35="Replied",K35="Referred",K35="Declined"),"",IF(L35&lt;TODAY(),"OVERDUE",IF(L35-TODAY()&lt;=2,"Due soon","")))</f>
        <v/>
      </c>
    </row>
    <row r="36" customFormat="false" ht="15" hidden="false" customHeight="false" outlineLevel="0" collapsed="false">
      <c r="C36" s="4" t="str">
        <f aca="false">IF(B36="","",IFERROR(INDEX(Opportunities!$B:$B,MATCH(B36,Opportunities!$A:$A,0)),""))</f>
        <v/>
      </c>
      <c r="J36" s="3"/>
      <c r="L36" s="3"/>
      <c r="M36" s="4" t="str">
        <f aca="true">IF(OR(L36="",K36="Replied",K36="Referred",K36="Declined"),"",IF(L36&lt;TODAY(),"OVERDUE",IF(L36-TODAY()&lt;=2,"Due soon","")))</f>
        <v/>
      </c>
    </row>
    <row r="37" customFormat="false" ht="15" hidden="false" customHeight="false" outlineLevel="0" collapsed="false">
      <c r="C37" s="4" t="str">
        <f aca="false">IF(B37="","",IFERROR(INDEX(Opportunities!$B:$B,MATCH(B37,Opportunities!$A:$A,0)),""))</f>
        <v/>
      </c>
      <c r="J37" s="3"/>
      <c r="L37" s="3"/>
      <c r="M37" s="4" t="str">
        <f aca="true">IF(OR(L37="",K37="Replied",K37="Referred",K37="Declined"),"",IF(L37&lt;TODAY(),"OVERDUE",IF(L37-TODAY()&lt;=2,"Due soon","")))</f>
        <v/>
      </c>
    </row>
    <row r="38" customFormat="false" ht="15" hidden="false" customHeight="false" outlineLevel="0" collapsed="false">
      <c r="C38" s="4" t="str">
        <f aca="false">IF(B38="","",IFERROR(INDEX(Opportunities!$B:$B,MATCH(B38,Opportunities!$A:$A,0)),""))</f>
        <v/>
      </c>
      <c r="J38" s="3"/>
      <c r="L38" s="3"/>
      <c r="M38" s="4" t="str">
        <f aca="true">IF(OR(L38="",K38="Replied",K38="Referred",K38="Declined"),"",IF(L38&lt;TODAY(),"OVERDUE",IF(L38-TODAY()&lt;=2,"Due soon","")))</f>
        <v/>
      </c>
    </row>
    <row r="39" customFormat="false" ht="15" hidden="false" customHeight="false" outlineLevel="0" collapsed="false">
      <c r="C39" s="4" t="str">
        <f aca="false">IF(B39="","",IFERROR(INDEX(Opportunities!$B:$B,MATCH(B39,Opportunities!$A:$A,0)),""))</f>
        <v/>
      </c>
      <c r="J39" s="3"/>
      <c r="L39" s="3"/>
      <c r="M39" s="4" t="str">
        <f aca="true">IF(OR(L39="",K39="Replied",K39="Referred",K39="Declined"),"",IF(L39&lt;TODAY(),"OVERDUE",IF(L39-TODAY()&lt;=2,"Due soon","")))</f>
        <v/>
      </c>
    </row>
    <row r="40" customFormat="false" ht="15" hidden="false" customHeight="false" outlineLevel="0" collapsed="false">
      <c r="C40" s="4" t="str">
        <f aca="false">IF(B40="","",IFERROR(INDEX(Opportunities!$B:$B,MATCH(B40,Opportunities!$A:$A,0)),""))</f>
        <v/>
      </c>
      <c r="J40" s="3"/>
      <c r="L40" s="3"/>
      <c r="M40" s="4" t="str">
        <f aca="true">IF(OR(L40="",K40="Replied",K40="Referred",K40="Declined"),"",IF(L40&lt;TODAY(),"OVERDUE",IF(L40-TODAY()&lt;=2,"Due soon","")))</f>
        <v/>
      </c>
    </row>
    <row r="41" customFormat="false" ht="15" hidden="false" customHeight="false" outlineLevel="0" collapsed="false">
      <c r="C41" s="4" t="str">
        <f aca="false">IF(B41="","",IFERROR(INDEX(Opportunities!$B:$B,MATCH(B41,Opportunities!$A:$A,0)),""))</f>
        <v/>
      </c>
      <c r="J41" s="3"/>
      <c r="L41" s="3"/>
      <c r="M41" s="4" t="str">
        <f aca="true">IF(OR(L41="",K41="Replied",K41="Referred",K41="Declined"),"",IF(L41&lt;TODAY(),"OVERDUE",IF(L41-TODAY()&lt;=2,"Due soon","")))</f>
        <v/>
      </c>
    </row>
    <row r="42" customFormat="false" ht="15" hidden="false" customHeight="false" outlineLevel="0" collapsed="false">
      <c r="C42" s="4" t="str">
        <f aca="false">IF(B42="","",IFERROR(INDEX(Opportunities!$B:$B,MATCH(B42,Opportunities!$A:$A,0)),""))</f>
        <v/>
      </c>
      <c r="J42" s="3"/>
      <c r="L42" s="3"/>
      <c r="M42" s="4" t="str">
        <f aca="true">IF(OR(L42="",K42="Replied",K42="Referred",K42="Declined"),"",IF(L42&lt;TODAY(),"OVERDUE",IF(L42-TODAY()&lt;=2,"Due soon","")))</f>
        <v/>
      </c>
    </row>
    <row r="43" customFormat="false" ht="15" hidden="false" customHeight="false" outlineLevel="0" collapsed="false">
      <c r="C43" s="4" t="str">
        <f aca="false">IF(B43="","",IFERROR(INDEX(Opportunities!$B:$B,MATCH(B43,Opportunities!$A:$A,0)),""))</f>
        <v/>
      </c>
      <c r="J43" s="3"/>
      <c r="L43" s="3"/>
      <c r="M43" s="4" t="str">
        <f aca="true">IF(OR(L43="",K43="Replied",K43="Referred",K43="Declined"),"",IF(L43&lt;TODAY(),"OVERDUE",IF(L43-TODAY()&lt;=2,"Due soon","")))</f>
        <v/>
      </c>
    </row>
    <row r="44" customFormat="false" ht="15" hidden="false" customHeight="false" outlineLevel="0" collapsed="false">
      <c r="C44" s="4" t="str">
        <f aca="false">IF(B44="","",IFERROR(INDEX(Opportunities!$B:$B,MATCH(B44,Opportunities!$A:$A,0)),""))</f>
        <v/>
      </c>
      <c r="J44" s="3"/>
      <c r="L44" s="3"/>
      <c r="M44" s="4" t="str">
        <f aca="true">IF(OR(L44="",K44="Replied",K44="Referred",K44="Declined"),"",IF(L44&lt;TODAY(),"OVERDUE",IF(L44-TODAY()&lt;=2,"Due soon","")))</f>
        <v/>
      </c>
    </row>
    <row r="45" customFormat="false" ht="15" hidden="false" customHeight="false" outlineLevel="0" collapsed="false">
      <c r="C45" s="4" t="str">
        <f aca="false">IF(B45="","",IFERROR(INDEX(Opportunities!$B:$B,MATCH(B45,Opportunities!$A:$A,0)),""))</f>
        <v/>
      </c>
      <c r="J45" s="3"/>
      <c r="L45" s="3"/>
      <c r="M45" s="4" t="str">
        <f aca="true">IF(OR(L45="",K45="Replied",K45="Referred",K45="Declined"),"",IF(L45&lt;TODAY(),"OVERDUE",IF(L45-TODAY()&lt;=2,"Due soon","")))</f>
        <v/>
      </c>
    </row>
    <row r="46" customFormat="false" ht="15" hidden="false" customHeight="false" outlineLevel="0" collapsed="false">
      <c r="C46" s="4" t="str">
        <f aca="false">IF(B46="","",IFERROR(INDEX(Opportunities!$B:$B,MATCH(B46,Opportunities!$A:$A,0)),""))</f>
        <v/>
      </c>
      <c r="J46" s="3"/>
      <c r="L46" s="3"/>
      <c r="M46" s="4" t="str">
        <f aca="true">IF(OR(L46="",K46="Replied",K46="Referred",K46="Declined"),"",IF(L46&lt;TODAY(),"OVERDUE",IF(L46-TODAY()&lt;=2,"Due soon","")))</f>
        <v/>
      </c>
    </row>
    <row r="47" customFormat="false" ht="15" hidden="false" customHeight="false" outlineLevel="0" collapsed="false">
      <c r="C47" s="4" t="str">
        <f aca="false">IF(B47="","",IFERROR(INDEX(Opportunities!$B:$B,MATCH(B47,Opportunities!$A:$A,0)),""))</f>
        <v/>
      </c>
      <c r="J47" s="3"/>
      <c r="L47" s="3"/>
      <c r="M47" s="4" t="str">
        <f aca="true">IF(OR(L47="",K47="Replied",K47="Referred",K47="Declined"),"",IF(L47&lt;TODAY(),"OVERDUE",IF(L47-TODAY()&lt;=2,"Due soon","")))</f>
        <v/>
      </c>
    </row>
    <row r="48" customFormat="false" ht="15" hidden="false" customHeight="false" outlineLevel="0" collapsed="false">
      <c r="C48" s="4" t="str">
        <f aca="false">IF(B48="","",IFERROR(INDEX(Opportunities!$B:$B,MATCH(B48,Opportunities!$A:$A,0)),""))</f>
        <v/>
      </c>
      <c r="J48" s="3"/>
      <c r="L48" s="3"/>
      <c r="M48" s="4" t="str">
        <f aca="true">IF(OR(L48="",K48="Replied",K48="Referred",K48="Declined"),"",IF(L48&lt;TODAY(),"OVERDUE",IF(L48-TODAY()&lt;=2,"Due soon","")))</f>
        <v/>
      </c>
    </row>
    <row r="49" customFormat="false" ht="15" hidden="false" customHeight="false" outlineLevel="0" collapsed="false">
      <c r="C49" s="4" t="str">
        <f aca="false">IF(B49="","",IFERROR(INDEX(Opportunities!$B:$B,MATCH(B49,Opportunities!$A:$A,0)),""))</f>
        <v/>
      </c>
      <c r="J49" s="3"/>
      <c r="L49" s="3"/>
      <c r="M49" s="4" t="str">
        <f aca="true">IF(OR(L49="",K49="Replied",K49="Referred",K49="Declined"),"",IF(L49&lt;TODAY(),"OVERDUE",IF(L49-TODAY()&lt;=2,"Due soon","")))</f>
        <v/>
      </c>
    </row>
    <row r="50" customFormat="false" ht="15" hidden="false" customHeight="false" outlineLevel="0" collapsed="false">
      <c r="C50" s="4" t="str">
        <f aca="false">IF(B50="","",IFERROR(INDEX(Opportunities!$B:$B,MATCH(B50,Opportunities!$A:$A,0)),""))</f>
        <v/>
      </c>
      <c r="J50" s="3"/>
      <c r="L50" s="3"/>
      <c r="M50" s="4" t="str">
        <f aca="true">IF(OR(L50="",K50="Replied",K50="Referred",K50="Declined"),"",IF(L50&lt;TODAY(),"OVERDUE",IF(L50-TODAY()&lt;=2,"Due soon","")))</f>
        <v/>
      </c>
    </row>
    <row r="51" customFormat="false" ht="15" hidden="false" customHeight="false" outlineLevel="0" collapsed="false">
      <c r="C51" s="4" t="str">
        <f aca="false">IF(B51="","",IFERROR(INDEX(Opportunities!$B:$B,MATCH(B51,Opportunities!$A:$A,0)),""))</f>
        <v/>
      </c>
      <c r="J51" s="3"/>
      <c r="L51" s="3"/>
      <c r="M51" s="4" t="str">
        <f aca="true">IF(OR(L51="",K51="Replied",K51="Referred",K51="Declined"),"",IF(L51&lt;TODAY(),"OVERDUE",IF(L51-TODAY()&lt;=2,"Due soon","")))</f>
        <v/>
      </c>
    </row>
    <row r="52" customFormat="false" ht="15" hidden="false" customHeight="false" outlineLevel="0" collapsed="false">
      <c r="C52" s="4" t="str">
        <f aca="false">IF(B52="","",IFERROR(INDEX(Opportunities!$B:$B,MATCH(B52,Opportunities!$A:$A,0)),""))</f>
        <v/>
      </c>
      <c r="J52" s="3"/>
      <c r="L52" s="3"/>
      <c r="M52" s="4" t="str">
        <f aca="true">IF(OR(L52="",K52="Replied",K52="Referred",K52="Declined"),"",IF(L52&lt;TODAY(),"OVERDUE",IF(L52-TODAY()&lt;=2,"Due soon","")))</f>
        <v/>
      </c>
    </row>
    <row r="53" customFormat="false" ht="15" hidden="false" customHeight="false" outlineLevel="0" collapsed="false">
      <c r="C53" s="4" t="str">
        <f aca="false">IF(B53="","",IFERROR(INDEX(Opportunities!$B:$B,MATCH(B53,Opportunities!$A:$A,0)),""))</f>
        <v/>
      </c>
      <c r="J53" s="3"/>
      <c r="L53" s="3"/>
      <c r="M53" s="4" t="str">
        <f aca="true">IF(OR(L53="",K53="Replied",K53="Referred",K53="Declined"),"",IF(L53&lt;TODAY(),"OVERDUE",IF(L53-TODAY()&lt;=2,"Due soon","")))</f>
        <v/>
      </c>
    </row>
    <row r="54" customFormat="false" ht="15" hidden="false" customHeight="false" outlineLevel="0" collapsed="false">
      <c r="C54" s="4" t="str">
        <f aca="false">IF(B54="","",IFERROR(INDEX(Opportunities!$B:$B,MATCH(B54,Opportunities!$A:$A,0)),""))</f>
        <v/>
      </c>
      <c r="J54" s="3"/>
      <c r="L54" s="3"/>
      <c r="M54" s="4" t="str">
        <f aca="true">IF(OR(L54="",K54="Replied",K54="Referred",K54="Declined"),"",IF(L54&lt;TODAY(),"OVERDUE",IF(L54-TODAY()&lt;=2,"Due soon","")))</f>
        <v/>
      </c>
    </row>
    <row r="55" customFormat="false" ht="15" hidden="false" customHeight="false" outlineLevel="0" collapsed="false">
      <c r="C55" s="4" t="str">
        <f aca="false">IF(B55="","",IFERROR(INDEX(Opportunities!$B:$B,MATCH(B55,Opportunities!$A:$A,0)),""))</f>
        <v/>
      </c>
      <c r="J55" s="3"/>
      <c r="L55" s="3"/>
      <c r="M55" s="4" t="str">
        <f aca="true">IF(OR(L55="",K55="Replied",K55="Referred",K55="Declined"),"",IF(L55&lt;TODAY(),"OVERDUE",IF(L55-TODAY()&lt;=2,"Due soon","")))</f>
        <v/>
      </c>
    </row>
    <row r="56" customFormat="false" ht="15" hidden="false" customHeight="false" outlineLevel="0" collapsed="false">
      <c r="C56" s="4" t="str">
        <f aca="false">IF(B56="","",IFERROR(INDEX(Opportunities!$B:$B,MATCH(B56,Opportunities!$A:$A,0)),""))</f>
        <v/>
      </c>
      <c r="J56" s="3"/>
      <c r="L56" s="3"/>
      <c r="M56" s="4" t="str">
        <f aca="true">IF(OR(L56="",K56="Replied",K56="Referred",K56="Declined"),"",IF(L56&lt;TODAY(),"OVERDUE",IF(L56-TODAY()&lt;=2,"Due soon","")))</f>
        <v/>
      </c>
    </row>
    <row r="57" customFormat="false" ht="15" hidden="false" customHeight="false" outlineLevel="0" collapsed="false">
      <c r="C57" s="4" t="str">
        <f aca="false">IF(B57="","",IFERROR(INDEX(Opportunities!$B:$B,MATCH(B57,Opportunities!$A:$A,0)),""))</f>
        <v/>
      </c>
      <c r="J57" s="3"/>
      <c r="L57" s="3"/>
      <c r="M57" s="4" t="str">
        <f aca="true">IF(OR(L57="",K57="Replied",K57="Referred",K57="Declined"),"",IF(L57&lt;TODAY(),"OVERDUE",IF(L57-TODAY()&lt;=2,"Due soon","")))</f>
        <v/>
      </c>
    </row>
    <row r="58" customFormat="false" ht="15" hidden="false" customHeight="false" outlineLevel="0" collapsed="false">
      <c r="C58" s="4" t="str">
        <f aca="false">IF(B58="","",IFERROR(INDEX(Opportunities!$B:$B,MATCH(B58,Opportunities!$A:$A,0)),""))</f>
        <v/>
      </c>
      <c r="J58" s="3"/>
      <c r="L58" s="3"/>
      <c r="M58" s="4" t="str">
        <f aca="true">IF(OR(L58="",K58="Replied",K58="Referred",K58="Declined"),"",IF(L58&lt;TODAY(),"OVERDUE",IF(L58-TODAY()&lt;=2,"Due soon","")))</f>
        <v/>
      </c>
    </row>
    <row r="59" customFormat="false" ht="15" hidden="false" customHeight="false" outlineLevel="0" collapsed="false">
      <c r="C59" s="4" t="str">
        <f aca="false">IF(B59="","",IFERROR(INDEX(Opportunities!$B:$B,MATCH(B59,Opportunities!$A:$A,0)),""))</f>
        <v/>
      </c>
      <c r="J59" s="3"/>
      <c r="L59" s="3"/>
      <c r="M59" s="4" t="str">
        <f aca="true">IF(OR(L59="",K59="Replied",K59="Referred",K59="Declined"),"",IF(L59&lt;TODAY(),"OVERDUE",IF(L59-TODAY()&lt;=2,"Due soon","")))</f>
        <v/>
      </c>
    </row>
    <row r="60" customFormat="false" ht="15" hidden="false" customHeight="false" outlineLevel="0" collapsed="false">
      <c r="C60" s="4" t="str">
        <f aca="false">IF(B60="","",IFERROR(INDEX(Opportunities!$B:$B,MATCH(B60,Opportunities!$A:$A,0)),""))</f>
        <v/>
      </c>
      <c r="J60" s="3"/>
      <c r="L60" s="3"/>
      <c r="M60" s="4" t="str">
        <f aca="true">IF(OR(L60="",K60="Replied",K60="Referred",K60="Declined"),"",IF(L60&lt;TODAY(),"OVERDUE",IF(L60-TODAY()&lt;=2,"Due soon","")))</f>
        <v/>
      </c>
    </row>
    <row r="61" customFormat="false" ht="15" hidden="false" customHeight="false" outlineLevel="0" collapsed="false">
      <c r="C61" s="4" t="str">
        <f aca="false">IF(B61="","",IFERROR(INDEX(Opportunities!$B:$B,MATCH(B61,Opportunities!$A:$A,0)),""))</f>
        <v/>
      </c>
      <c r="J61" s="3"/>
      <c r="L61" s="3"/>
      <c r="M61" s="4" t="str">
        <f aca="true">IF(OR(L61="",K61="Replied",K61="Referred",K61="Declined"),"",IF(L61&lt;TODAY(),"OVERDUE",IF(L61-TODAY()&lt;=2,"Due soon","")))</f>
        <v/>
      </c>
    </row>
    <row r="62" customFormat="false" ht="15" hidden="false" customHeight="false" outlineLevel="0" collapsed="false">
      <c r="C62" s="4" t="str">
        <f aca="false">IF(B62="","",IFERROR(INDEX(Opportunities!$B:$B,MATCH(B62,Opportunities!$A:$A,0)),""))</f>
        <v/>
      </c>
      <c r="J62" s="3"/>
      <c r="L62" s="3"/>
      <c r="M62" s="4" t="str">
        <f aca="true">IF(OR(L62="",K62="Replied",K62="Referred",K62="Declined"),"",IF(L62&lt;TODAY(),"OVERDUE",IF(L62-TODAY()&lt;=2,"Due soon","")))</f>
        <v/>
      </c>
    </row>
    <row r="63" customFormat="false" ht="15" hidden="false" customHeight="false" outlineLevel="0" collapsed="false">
      <c r="C63" s="4" t="str">
        <f aca="false">IF(B63="","",IFERROR(INDEX(Opportunities!$B:$B,MATCH(B63,Opportunities!$A:$A,0)),""))</f>
        <v/>
      </c>
      <c r="J63" s="3"/>
      <c r="L63" s="3"/>
      <c r="M63" s="4" t="str">
        <f aca="true">IF(OR(L63="",K63="Replied",K63="Referred",K63="Declined"),"",IF(L63&lt;TODAY(),"OVERDUE",IF(L63-TODAY()&lt;=2,"Due soon","")))</f>
        <v/>
      </c>
    </row>
    <row r="64" customFormat="false" ht="15" hidden="false" customHeight="false" outlineLevel="0" collapsed="false">
      <c r="C64" s="4" t="str">
        <f aca="false">IF(B64="","",IFERROR(INDEX(Opportunities!$B:$B,MATCH(B64,Opportunities!$A:$A,0)),""))</f>
        <v/>
      </c>
      <c r="J64" s="3"/>
      <c r="L64" s="3"/>
      <c r="M64" s="4" t="str">
        <f aca="true">IF(OR(L64="",K64="Replied",K64="Referred",K64="Declined"),"",IF(L64&lt;TODAY(),"OVERDUE",IF(L64-TODAY()&lt;=2,"Due soon","")))</f>
        <v/>
      </c>
    </row>
    <row r="65" customFormat="false" ht="15" hidden="false" customHeight="false" outlineLevel="0" collapsed="false">
      <c r="C65" s="4" t="str">
        <f aca="false">IF(B65="","",IFERROR(INDEX(Opportunities!$B:$B,MATCH(B65,Opportunities!$A:$A,0)),""))</f>
        <v/>
      </c>
      <c r="J65" s="3"/>
      <c r="L65" s="3"/>
      <c r="M65" s="4" t="str">
        <f aca="true">IF(OR(L65="",K65="Replied",K65="Referred",K65="Declined"),"",IF(L65&lt;TODAY(),"OVERDUE",IF(L65-TODAY()&lt;=2,"Due soon","")))</f>
        <v/>
      </c>
    </row>
    <row r="66" customFormat="false" ht="15" hidden="false" customHeight="false" outlineLevel="0" collapsed="false">
      <c r="C66" s="4" t="str">
        <f aca="false">IF(B66="","",IFERROR(INDEX(Opportunities!$B:$B,MATCH(B66,Opportunities!$A:$A,0)),""))</f>
        <v/>
      </c>
      <c r="J66" s="3"/>
      <c r="L66" s="3"/>
      <c r="M66" s="4" t="str">
        <f aca="true">IF(OR(L66="",K66="Replied",K66="Referred",K66="Declined"),"",IF(L66&lt;TODAY(),"OVERDUE",IF(L66-TODAY()&lt;=2,"Due soon","")))</f>
        <v/>
      </c>
    </row>
    <row r="67" customFormat="false" ht="15" hidden="false" customHeight="false" outlineLevel="0" collapsed="false">
      <c r="C67" s="4" t="str">
        <f aca="false">IF(B67="","",IFERROR(INDEX(Opportunities!$B:$B,MATCH(B67,Opportunities!$A:$A,0)),""))</f>
        <v/>
      </c>
      <c r="J67" s="3"/>
      <c r="L67" s="3"/>
      <c r="M67" s="4" t="str">
        <f aca="true">IF(OR(L67="",K67="Replied",K67="Referred",K67="Declined"),"",IF(L67&lt;TODAY(),"OVERDUE",IF(L67-TODAY()&lt;=2,"Due soon","")))</f>
        <v/>
      </c>
    </row>
    <row r="68" customFormat="false" ht="15" hidden="false" customHeight="false" outlineLevel="0" collapsed="false">
      <c r="C68" s="4" t="str">
        <f aca="false">IF(B68="","",IFERROR(INDEX(Opportunities!$B:$B,MATCH(B68,Opportunities!$A:$A,0)),""))</f>
        <v/>
      </c>
      <c r="J68" s="3"/>
      <c r="L68" s="3"/>
      <c r="M68" s="4" t="str">
        <f aca="true">IF(OR(L68="",K68="Replied",K68="Referred",K68="Declined"),"",IF(L68&lt;TODAY(),"OVERDUE",IF(L68-TODAY()&lt;=2,"Due soon","")))</f>
        <v/>
      </c>
    </row>
    <row r="69" customFormat="false" ht="15" hidden="false" customHeight="false" outlineLevel="0" collapsed="false">
      <c r="C69" s="4" t="str">
        <f aca="false">IF(B69="","",IFERROR(INDEX(Opportunities!$B:$B,MATCH(B69,Opportunities!$A:$A,0)),""))</f>
        <v/>
      </c>
      <c r="J69" s="3"/>
      <c r="L69" s="3"/>
      <c r="M69" s="4" t="str">
        <f aca="true">IF(OR(L69="",K69="Replied",K69="Referred",K69="Declined"),"",IF(L69&lt;TODAY(),"OVERDUE",IF(L69-TODAY()&lt;=2,"Due soon","")))</f>
        <v/>
      </c>
    </row>
    <row r="70" customFormat="false" ht="15" hidden="false" customHeight="false" outlineLevel="0" collapsed="false">
      <c r="C70" s="4" t="str">
        <f aca="false">IF(B70="","",IFERROR(INDEX(Opportunities!$B:$B,MATCH(B70,Opportunities!$A:$A,0)),""))</f>
        <v/>
      </c>
      <c r="J70" s="3"/>
      <c r="L70" s="3"/>
      <c r="M70" s="4" t="str">
        <f aca="true">IF(OR(L70="",K70="Replied",K70="Referred",K70="Declined"),"",IF(L70&lt;TODAY(),"OVERDUE",IF(L70-TODAY()&lt;=2,"Due soon","")))</f>
        <v/>
      </c>
    </row>
    <row r="71" customFormat="false" ht="15" hidden="false" customHeight="false" outlineLevel="0" collapsed="false">
      <c r="C71" s="4" t="str">
        <f aca="false">IF(B71="","",IFERROR(INDEX(Opportunities!$B:$B,MATCH(B71,Opportunities!$A:$A,0)),""))</f>
        <v/>
      </c>
      <c r="J71" s="3"/>
      <c r="L71" s="3"/>
      <c r="M71" s="4" t="str">
        <f aca="true">IF(OR(L71="",K71="Replied",K71="Referred",K71="Declined"),"",IF(L71&lt;TODAY(),"OVERDUE",IF(L71-TODAY()&lt;=2,"Due soon","")))</f>
        <v/>
      </c>
    </row>
    <row r="72" customFormat="false" ht="15" hidden="false" customHeight="false" outlineLevel="0" collapsed="false">
      <c r="C72" s="4" t="str">
        <f aca="false">IF(B72="","",IFERROR(INDEX(Opportunities!$B:$B,MATCH(B72,Opportunities!$A:$A,0)),""))</f>
        <v/>
      </c>
      <c r="J72" s="3"/>
      <c r="L72" s="3"/>
      <c r="M72" s="4" t="str">
        <f aca="true">IF(OR(L72="",K72="Replied",K72="Referred",K72="Declined"),"",IF(L72&lt;TODAY(),"OVERDUE",IF(L72-TODAY()&lt;=2,"Due soon","")))</f>
        <v/>
      </c>
    </row>
    <row r="73" customFormat="false" ht="15" hidden="false" customHeight="false" outlineLevel="0" collapsed="false">
      <c r="C73" s="4" t="str">
        <f aca="false">IF(B73="","",IFERROR(INDEX(Opportunities!$B:$B,MATCH(B73,Opportunities!$A:$A,0)),""))</f>
        <v/>
      </c>
      <c r="J73" s="3"/>
      <c r="L73" s="3"/>
      <c r="M73" s="4" t="str">
        <f aca="true">IF(OR(L73="",K73="Replied",K73="Referred",K73="Declined"),"",IF(L73&lt;TODAY(),"OVERDUE",IF(L73-TODAY()&lt;=2,"Due soon","")))</f>
        <v/>
      </c>
    </row>
    <row r="74" customFormat="false" ht="15" hidden="false" customHeight="false" outlineLevel="0" collapsed="false">
      <c r="C74" s="4" t="str">
        <f aca="false">IF(B74="","",IFERROR(INDEX(Opportunities!$B:$B,MATCH(B74,Opportunities!$A:$A,0)),""))</f>
        <v/>
      </c>
      <c r="J74" s="3"/>
      <c r="L74" s="3"/>
      <c r="M74" s="4" t="str">
        <f aca="true">IF(OR(L74="",K74="Replied",K74="Referred",K74="Declined"),"",IF(L74&lt;TODAY(),"OVERDUE",IF(L74-TODAY()&lt;=2,"Due soon","")))</f>
        <v/>
      </c>
    </row>
    <row r="75" customFormat="false" ht="15" hidden="false" customHeight="false" outlineLevel="0" collapsed="false">
      <c r="C75" s="4" t="str">
        <f aca="false">IF(B75="","",IFERROR(INDEX(Opportunities!$B:$B,MATCH(B75,Opportunities!$A:$A,0)),""))</f>
        <v/>
      </c>
      <c r="J75" s="3"/>
      <c r="L75" s="3"/>
      <c r="M75" s="4" t="str">
        <f aca="true">IF(OR(L75="",K75="Replied",K75="Referred",K75="Declined"),"",IF(L75&lt;TODAY(),"OVERDUE",IF(L75-TODAY()&lt;=2,"Due soon","")))</f>
        <v/>
      </c>
    </row>
    <row r="76" customFormat="false" ht="15" hidden="false" customHeight="false" outlineLevel="0" collapsed="false">
      <c r="C76" s="4" t="str">
        <f aca="false">IF(B76="","",IFERROR(INDEX(Opportunities!$B:$B,MATCH(B76,Opportunities!$A:$A,0)),""))</f>
        <v/>
      </c>
      <c r="J76" s="3"/>
      <c r="L76" s="3"/>
      <c r="M76" s="4" t="str">
        <f aca="true">IF(OR(L76="",K76="Replied",K76="Referred",K76="Declined"),"",IF(L76&lt;TODAY(),"OVERDUE",IF(L76-TODAY()&lt;=2,"Due soon","")))</f>
        <v/>
      </c>
    </row>
    <row r="77" customFormat="false" ht="15" hidden="false" customHeight="false" outlineLevel="0" collapsed="false">
      <c r="C77" s="4" t="str">
        <f aca="false">IF(B77="","",IFERROR(INDEX(Opportunities!$B:$B,MATCH(B77,Opportunities!$A:$A,0)),""))</f>
        <v/>
      </c>
      <c r="J77" s="3"/>
      <c r="L77" s="3"/>
      <c r="M77" s="4" t="str">
        <f aca="true">IF(OR(L77="",K77="Replied",K77="Referred",K77="Declined"),"",IF(L77&lt;TODAY(),"OVERDUE",IF(L77-TODAY()&lt;=2,"Due soon","")))</f>
        <v/>
      </c>
    </row>
    <row r="78" customFormat="false" ht="15" hidden="false" customHeight="false" outlineLevel="0" collapsed="false">
      <c r="C78" s="4" t="str">
        <f aca="false">IF(B78="","",IFERROR(INDEX(Opportunities!$B:$B,MATCH(B78,Opportunities!$A:$A,0)),""))</f>
        <v/>
      </c>
      <c r="J78" s="3"/>
      <c r="L78" s="3"/>
      <c r="M78" s="4" t="str">
        <f aca="true">IF(OR(L78="",K78="Replied",K78="Referred",K78="Declined"),"",IF(L78&lt;TODAY(),"OVERDUE",IF(L78-TODAY()&lt;=2,"Due soon","")))</f>
        <v/>
      </c>
    </row>
    <row r="79" customFormat="false" ht="15" hidden="false" customHeight="false" outlineLevel="0" collapsed="false">
      <c r="C79" s="4" t="str">
        <f aca="false">IF(B79="","",IFERROR(INDEX(Opportunities!$B:$B,MATCH(B79,Opportunities!$A:$A,0)),""))</f>
        <v/>
      </c>
      <c r="J79" s="3"/>
      <c r="L79" s="3"/>
      <c r="M79" s="4" t="str">
        <f aca="true">IF(OR(L79="",K79="Replied",K79="Referred",K79="Declined"),"",IF(L79&lt;TODAY(),"OVERDUE",IF(L79-TODAY()&lt;=2,"Due soon","")))</f>
        <v/>
      </c>
    </row>
    <row r="80" customFormat="false" ht="15" hidden="false" customHeight="false" outlineLevel="0" collapsed="false">
      <c r="C80" s="4" t="str">
        <f aca="false">IF(B80="","",IFERROR(INDEX(Opportunities!$B:$B,MATCH(B80,Opportunities!$A:$A,0)),""))</f>
        <v/>
      </c>
      <c r="J80" s="3"/>
      <c r="L80" s="3"/>
      <c r="M80" s="4" t="str">
        <f aca="true">IF(OR(L80="",K80="Replied",K80="Referred",K80="Declined"),"",IF(L80&lt;TODAY(),"OVERDUE",IF(L80-TODAY()&lt;=2,"Due soon","")))</f>
        <v/>
      </c>
    </row>
    <row r="81" customFormat="false" ht="15" hidden="false" customHeight="false" outlineLevel="0" collapsed="false">
      <c r="C81" s="4" t="str">
        <f aca="false">IF(B81="","",IFERROR(INDEX(Opportunities!$B:$B,MATCH(B81,Opportunities!$A:$A,0)),""))</f>
        <v/>
      </c>
      <c r="J81" s="3"/>
      <c r="L81" s="3"/>
      <c r="M81" s="4" t="str">
        <f aca="true">IF(OR(L81="",K81="Replied",K81="Referred",K81="Declined"),"",IF(L81&lt;TODAY(),"OVERDUE",IF(L81-TODAY()&lt;=2,"Due soon","")))</f>
        <v/>
      </c>
    </row>
    <row r="82" customFormat="false" ht="15" hidden="false" customHeight="false" outlineLevel="0" collapsed="false">
      <c r="C82" s="4" t="str">
        <f aca="false">IF(B82="","",IFERROR(INDEX(Opportunities!$B:$B,MATCH(B82,Opportunities!$A:$A,0)),""))</f>
        <v/>
      </c>
      <c r="J82" s="3"/>
      <c r="L82" s="3"/>
      <c r="M82" s="4" t="str">
        <f aca="true">IF(OR(L82="",K82="Replied",K82="Referred",K82="Declined"),"",IF(L82&lt;TODAY(),"OVERDUE",IF(L82-TODAY()&lt;=2,"Due soon","")))</f>
        <v/>
      </c>
    </row>
    <row r="83" customFormat="false" ht="15" hidden="false" customHeight="false" outlineLevel="0" collapsed="false">
      <c r="C83" s="4" t="str">
        <f aca="false">IF(B83="","",IFERROR(INDEX(Opportunities!$B:$B,MATCH(B83,Opportunities!$A:$A,0)),""))</f>
        <v/>
      </c>
      <c r="J83" s="3"/>
      <c r="L83" s="3"/>
      <c r="M83" s="4" t="str">
        <f aca="true">IF(OR(L83="",K83="Replied",K83="Referred",K83="Declined"),"",IF(L83&lt;TODAY(),"OVERDUE",IF(L83-TODAY()&lt;=2,"Due soon","")))</f>
        <v/>
      </c>
    </row>
    <row r="84" customFormat="false" ht="15" hidden="false" customHeight="false" outlineLevel="0" collapsed="false">
      <c r="C84" s="4" t="str">
        <f aca="false">IF(B84="","",IFERROR(INDEX(Opportunities!$B:$B,MATCH(B84,Opportunities!$A:$A,0)),""))</f>
        <v/>
      </c>
      <c r="J84" s="3"/>
      <c r="L84" s="3"/>
      <c r="M84" s="4" t="str">
        <f aca="true">IF(OR(L84="",K84="Replied",K84="Referred",K84="Declined"),"",IF(L84&lt;TODAY(),"OVERDUE",IF(L84-TODAY()&lt;=2,"Due soon","")))</f>
        <v/>
      </c>
    </row>
    <row r="85" customFormat="false" ht="15" hidden="false" customHeight="false" outlineLevel="0" collapsed="false">
      <c r="C85" s="4" t="str">
        <f aca="false">IF(B85="","",IFERROR(INDEX(Opportunities!$B:$B,MATCH(B85,Opportunities!$A:$A,0)),""))</f>
        <v/>
      </c>
      <c r="J85" s="3"/>
      <c r="L85" s="3"/>
      <c r="M85" s="4" t="str">
        <f aca="true">IF(OR(L85="",K85="Replied",K85="Referred",K85="Declined"),"",IF(L85&lt;TODAY(),"OVERDUE",IF(L85-TODAY()&lt;=2,"Due soon","")))</f>
        <v/>
      </c>
    </row>
    <row r="86" customFormat="false" ht="15" hidden="false" customHeight="false" outlineLevel="0" collapsed="false">
      <c r="C86" s="4" t="str">
        <f aca="false">IF(B86="","",IFERROR(INDEX(Opportunities!$B:$B,MATCH(B86,Opportunities!$A:$A,0)),""))</f>
        <v/>
      </c>
      <c r="J86" s="3"/>
      <c r="L86" s="3"/>
      <c r="M86" s="4" t="str">
        <f aca="true">IF(OR(L86="",K86="Replied",K86="Referred",K86="Declined"),"",IF(L86&lt;TODAY(),"OVERDUE",IF(L86-TODAY()&lt;=2,"Due soon","")))</f>
        <v/>
      </c>
    </row>
    <row r="87" customFormat="false" ht="15" hidden="false" customHeight="false" outlineLevel="0" collapsed="false">
      <c r="C87" s="4" t="str">
        <f aca="false">IF(B87="","",IFERROR(INDEX(Opportunities!$B:$B,MATCH(B87,Opportunities!$A:$A,0)),""))</f>
        <v/>
      </c>
      <c r="J87" s="3"/>
      <c r="L87" s="3"/>
      <c r="M87" s="4" t="str">
        <f aca="true">IF(OR(L87="",K87="Replied",K87="Referred",K87="Declined"),"",IF(L87&lt;TODAY(),"OVERDUE",IF(L87-TODAY()&lt;=2,"Due soon","")))</f>
        <v/>
      </c>
    </row>
    <row r="88" customFormat="false" ht="15" hidden="false" customHeight="false" outlineLevel="0" collapsed="false">
      <c r="C88" s="4" t="str">
        <f aca="false">IF(B88="","",IFERROR(INDEX(Opportunities!$B:$B,MATCH(B88,Opportunities!$A:$A,0)),""))</f>
        <v/>
      </c>
      <c r="J88" s="3"/>
      <c r="L88" s="3"/>
      <c r="M88" s="4" t="str">
        <f aca="true">IF(OR(L88="",K88="Replied",K88="Referred",K88="Declined"),"",IF(L88&lt;TODAY(),"OVERDUE",IF(L88-TODAY()&lt;=2,"Due soon","")))</f>
        <v/>
      </c>
    </row>
    <row r="89" customFormat="false" ht="15" hidden="false" customHeight="false" outlineLevel="0" collapsed="false">
      <c r="C89" s="4" t="str">
        <f aca="false">IF(B89="","",IFERROR(INDEX(Opportunities!$B:$B,MATCH(B89,Opportunities!$A:$A,0)),""))</f>
        <v/>
      </c>
      <c r="J89" s="3"/>
      <c r="L89" s="3"/>
      <c r="M89" s="4" t="str">
        <f aca="true">IF(OR(L89="",K89="Replied",K89="Referred",K89="Declined"),"",IF(L89&lt;TODAY(),"OVERDUE",IF(L89-TODAY()&lt;=2,"Due soon","")))</f>
        <v/>
      </c>
    </row>
    <row r="90" customFormat="false" ht="15" hidden="false" customHeight="false" outlineLevel="0" collapsed="false">
      <c r="C90" s="4" t="str">
        <f aca="false">IF(B90="","",IFERROR(INDEX(Opportunities!$B:$B,MATCH(B90,Opportunities!$A:$A,0)),""))</f>
        <v/>
      </c>
      <c r="J90" s="3"/>
      <c r="L90" s="3"/>
      <c r="M90" s="4" t="str">
        <f aca="true">IF(OR(L90="",K90="Replied",K90="Referred",K90="Declined"),"",IF(L90&lt;TODAY(),"OVERDUE",IF(L90-TODAY()&lt;=2,"Due soon","")))</f>
        <v/>
      </c>
    </row>
    <row r="91" customFormat="false" ht="15" hidden="false" customHeight="false" outlineLevel="0" collapsed="false">
      <c r="C91" s="4" t="str">
        <f aca="false">IF(B91="","",IFERROR(INDEX(Opportunities!$B:$B,MATCH(B91,Opportunities!$A:$A,0)),""))</f>
        <v/>
      </c>
      <c r="J91" s="3"/>
      <c r="L91" s="3"/>
      <c r="M91" s="4" t="str">
        <f aca="true">IF(OR(L91="",K91="Replied",K91="Referred",K91="Declined"),"",IF(L91&lt;TODAY(),"OVERDUE",IF(L91-TODAY()&lt;=2,"Due soon","")))</f>
        <v/>
      </c>
    </row>
    <row r="92" customFormat="false" ht="15" hidden="false" customHeight="false" outlineLevel="0" collapsed="false">
      <c r="C92" s="4" t="str">
        <f aca="false">IF(B92="","",IFERROR(INDEX(Opportunities!$B:$B,MATCH(B92,Opportunities!$A:$A,0)),""))</f>
        <v/>
      </c>
      <c r="J92" s="3"/>
      <c r="L92" s="3"/>
      <c r="M92" s="4" t="str">
        <f aca="true">IF(OR(L92="",K92="Replied",K92="Referred",K92="Declined"),"",IF(L92&lt;TODAY(),"OVERDUE",IF(L92-TODAY()&lt;=2,"Due soon","")))</f>
        <v/>
      </c>
    </row>
    <row r="93" customFormat="false" ht="15" hidden="false" customHeight="false" outlineLevel="0" collapsed="false">
      <c r="C93" s="4" t="str">
        <f aca="false">IF(B93="","",IFERROR(INDEX(Opportunities!$B:$B,MATCH(B93,Opportunities!$A:$A,0)),""))</f>
        <v/>
      </c>
      <c r="J93" s="3"/>
      <c r="L93" s="3"/>
      <c r="M93" s="4" t="str">
        <f aca="true">IF(OR(L93="",K93="Replied",K93="Referred",K93="Declined"),"",IF(L93&lt;TODAY(),"OVERDUE",IF(L93-TODAY()&lt;=2,"Due soon","")))</f>
        <v/>
      </c>
    </row>
    <row r="94" customFormat="false" ht="15" hidden="false" customHeight="false" outlineLevel="0" collapsed="false">
      <c r="C94" s="4" t="str">
        <f aca="false">IF(B94="","",IFERROR(INDEX(Opportunities!$B:$B,MATCH(B94,Opportunities!$A:$A,0)),""))</f>
        <v/>
      </c>
      <c r="J94" s="3"/>
      <c r="L94" s="3"/>
      <c r="M94" s="4" t="str">
        <f aca="true">IF(OR(L94="",K94="Replied",K94="Referred",K94="Declined"),"",IF(L94&lt;TODAY(),"OVERDUE",IF(L94-TODAY()&lt;=2,"Due soon","")))</f>
        <v/>
      </c>
    </row>
    <row r="95" customFormat="false" ht="15" hidden="false" customHeight="false" outlineLevel="0" collapsed="false">
      <c r="C95" s="4" t="str">
        <f aca="false">IF(B95="","",IFERROR(INDEX(Opportunities!$B:$B,MATCH(B95,Opportunities!$A:$A,0)),""))</f>
        <v/>
      </c>
      <c r="J95" s="3"/>
      <c r="L95" s="3"/>
      <c r="M95" s="4" t="str">
        <f aca="true">IF(OR(L95="",K95="Replied",K95="Referred",K95="Declined"),"",IF(L95&lt;TODAY(),"OVERDUE",IF(L95-TODAY()&lt;=2,"Due soon","")))</f>
        <v/>
      </c>
    </row>
    <row r="96" customFormat="false" ht="15" hidden="false" customHeight="false" outlineLevel="0" collapsed="false">
      <c r="C96" s="4" t="str">
        <f aca="false">IF(B96="","",IFERROR(INDEX(Opportunities!$B:$B,MATCH(B96,Opportunities!$A:$A,0)),""))</f>
        <v/>
      </c>
      <c r="J96" s="3"/>
      <c r="L96" s="3"/>
      <c r="M96" s="4" t="str">
        <f aca="true">IF(OR(L96="",K96="Replied",K96="Referred",K96="Declined"),"",IF(L96&lt;TODAY(),"OVERDUE",IF(L96-TODAY()&lt;=2,"Due soon","")))</f>
        <v/>
      </c>
    </row>
    <row r="97" customFormat="false" ht="15" hidden="false" customHeight="false" outlineLevel="0" collapsed="false">
      <c r="C97" s="4" t="str">
        <f aca="false">IF(B97="","",IFERROR(INDEX(Opportunities!$B:$B,MATCH(B97,Opportunities!$A:$A,0)),""))</f>
        <v/>
      </c>
      <c r="J97" s="3"/>
      <c r="L97" s="3"/>
      <c r="M97" s="4" t="str">
        <f aca="true">IF(OR(L97="",K97="Replied",K97="Referred",K97="Declined"),"",IF(L97&lt;TODAY(),"OVERDUE",IF(L97-TODAY()&lt;=2,"Due soon","")))</f>
        <v/>
      </c>
    </row>
    <row r="98" customFormat="false" ht="15" hidden="false" customHeight="false" outlineLevel="0" collapsed="false">
      <c r="C98" s="4" t="str">
        <f aca="false">IF(B98="","",IFERROR(INDEX(Opportunities!$B:$B,MATCH(B98,Opportunities!$A:$A,0)),""))</f>
        <v/>
      </c>
      <c r="J98" s="3"/>
      <c r="L98" s="3"/>
      <c r="M98" s="4" t="str">
        <f aca="true">IF(OR(L98="",K98="Replied",K98="Referred",K98="Declined"),"",IF(L98&lt;TODAY(),"OVERDUE",IF(L98-TODAY()&lt;=2,"Due soon","")))</f>
        <v/>
      </c>
    </row>
    <row r="99" customFormat="false" ht="15" hidden="false" customHeight="false" outlineLevel="0" collapsed="false">
      <c r="C99" s="4" t="str">
        <f aca="false">IF(B99="","",IFERROR(INDEX(Opportunities!$B:$B,MATCH(B99,Opportunities!$A:$A,0)),""))</f>
        <v/>
      </c>
      <c r="J99" s="3"/>
      <c r="L99" s="3"/>
      <c r="M99" s="4" t="str">
        <f aca="true">IF(OR(L99="",K99="Replied",K99="Referred",K99="Declined"),"",IF(L99&lt;TODAY(),"OVERDUE",IF(L99-TODAY()&lt;=2,"Due soon","")))</f>
        <v/>
      </c>
    </row>
    <row r="100" customFormat="false" ht="15" hidden="false" customHeight="false" outlineLevel="0" collapsed="false">
      <c r="C100" s="4" t="str">
        <f aca="false">IF(B100="","",IFERROR(INDEX(Opportunities!$B:$B,MATCH(B100,Opportunities!$A:$A,0)),""))</f>
        <v/>
      </c>
      <c r="J100" s="3"/>
      <c r="L100" s="3"/>
      <c r="M100" s="4" t="str">
        <f aca="true">IF(OR(L100="",K100="Replied",K100="Referred",K100="Declined"),"",IF(L100&lt;TODAY(),"OVERDUE",IF(L100-TODAY()&lt;=2,"Due soon","")))</f>
        <v/>
      </c>
    </row>
    <row r="101" customFormat="false" ht="15" hidden="false" customHeight="false" outlineLevel="0" collapsed="false">
      <c r="C101" s="4" t="str">
        <f aca="false">IF(B101="","",IFERROR(INDEX(Opportunities!$B:$B,MATCH(B101,Opportunities!$A:$A,0)),""))</f>
        <v/>
      </c>
      <c r="J101" s="3"/>
      <c r="L101" s="3"/>
      <c r="M101" s="4" t="str">
        <f aca="true">IF(OR(L101="",K101="Replied",K101="Referred",K101="Declined"),"",IF(L101&lt;TODAY(),"OVERDUE",IF(L101-TODAY()&lt;=2,"Due soon","")))</f>
        <v/>
      </c>
    </row>
    <row r="102" customFormat="false" ht="15" hidden="false" customHeight="false" outlineLevel="0" collapsed="false">
      <c r="C102" s="4" t="str">
        <f aca="false">IF(B102="","",IFERROR(INDEX(Opportunities!$B:$B,MATCH(B102,Opportunities!$A:$A,0)),""))</f>
        <v/>
      </c>
      <c r="J102" s="3"/>
      <c r="L102" s="3"/>
      <c r="M102" s="4" t="str">
        <f aca="true">IF(OR(L102="",K102="Replied",K102="Referred",K102="Declined"),"",IF(L102&lt;TODAY(),"OVERDUE",IF(L102-TODAY()&lt;=2,"Due soon","")))</f>
        <v/>
      </c>
    </row>
    <row r="103" customFormat="false" ht="15" hidden="false" customHeight="false" outlineLevel="0" collapsed="false">
      <c r="C103" s="4" t="str">
        <f aca="false">IF(B103="","",IFERROR(INDEX(Opportunities!$B:$B,MATCH(B103,Opportunities!$A:$A,0)),""))</f>
        <v/>
      </c>
      <c r="J103" s="3"/>
      <c r="L103" s="3"/>
      <c r="M103" s="4" t="str">
        <f aca="true">IF(OR(L103="",K103="Replied",K103="Referred",K103="Declined"),"",IF(L103&lt;TODAY(),"OVERDUE",IF(L103-TODAY()&lt;=2,"Due soon","")))</f>
        <v/>
      </c>
    </row>
    <row r="104" customFormat="false" ht="15" hidden="false" customHeight="false" outlineLevel="0" collapsed="false">
      <c r="C104" s="4" t="str">
        <f aca="false">IF(B104="","",IFERROR(INDEX(Opportunities!$B:$B,MATCH(B104,Opportunities!$A:$A,0)),""))</f>
        <v/>
      </c>
      <c r="J104" s="3"/>
      <c r="L104" s="3"/>
      <c r="M104" s="4" t="str">
        <f aca="true">IF(OR(L104="",K104="Replied",K104="Referred",K104="Declined"),"",IF(L104&lt;TODAY(),"OVERDUE",IF(L104-TODAY()&lt;=2,"Due soon","")))</f>
        <v/>
      </c>
    </row>
    <row r="105" customFormat="false" ht="15" hidden="false" customHeight="false" outlineLevel="0" collapsed="false">
      <c r="C105" s="4" t="str">
        <f aca="false">IF(B105="","",IFERROR(INDEX(Opportunities!$B:$B,MATCH(B105,Opportunities!$A:$A,0)),""))</f>
        <v/>
      </c>
      <c r="J105" s="3"/>
      <c r="L105" s="3"/>
      <c r="M105" s="4" t="str">
        <f aca="true">IF(OR(L105="",K105="Replied",K105="Referred",K105="Declined"),"",IF(L105&lt;TODAY(),"OVERDUE",IF(L105-TODAY()&lt;=2,"Due soon","")))</f>
        <v/>
      </c>
    </row>
    <row r="106" customFormat="false" ht="15" hidden="false" customHeight="false" outlineLevel="0" collapsed="false">
      <c r="C106" s="4" t="str">
        <f aca="false">IF(B106="","",IFERROR(INDEX(Opportunities!$B:$B,MATCH(B106,Opportunities!$A:$A,0)),""))</f>
        <v/>
      </c>
      <c r="J106" s="3"/>
      <c r="L106" s="3"/>
      <c r="M106" s="4" t="str">
        <f aca="true">IF(OR(L106="",K106="Replied",K106="Referred",K106="Declined"),"",IF(L106&lt;TODAY(),"OVERDUE",IF(L106-TODAY()&lt;=2,"Due soon","")))</f>
        <v/>
      </c>
    </row>
    <row r="107" customFormat="false" ht="15" hidden="false" customHeight="false" outlineLevel="0" collapsed="false">
      <c r="C107" s="4" t="str">
        <f aca="false">IF(B107="","",IFERROR(INDEX(Opportunities!$B:$B,MATCH(B107,Opportunities!$A:$A,0)),""))</f>
        <v/>
      </c>
      <c r="J107" s="3"/>
      <c r="L107" s="3"/>
      <c r="M107" s="4" t="str">
        <f aca="true">IF(OR(L107="",K107="Replied",K107="Referred",K107="Declined"),"",IF(L107&lt;TODAY(),"OVERDUE",IF(L107-TODAY()&lt;=2,"Due soon","")))</f>
        <v/>
      </c>
    </row>
    <row r="108" customFormat="false" ht="15" hidden="false" customHeight="false" outlineLevel="0" collapsed="false">
      <c r="C108" s="4" t="str">
        <f aca="false">IF(B108="","",IFERROR(INDEX(Opportunities!$B:$B,MATCH(B108,Opportunities!$A:$A,0)),""))</f>
        <v/>
      </c>
      <c r="J108" s="3"/>
      <c r="L108" s="3"/>
      <c r="M108" s="4" t="str">
        <f aca="true">IF(OR(L108="",K108="Replied",K108="Referred",K108="Declined"),"",IF(L108&lt;TODAY(),"OVERDUE",IF(L108-TODAY()&lt;=2,"Due soon","")))</f>
        <v/>
      </c>
    </row>
    <row r="109" customFormat="false" ht="15" hidden="false" customHeight="false" outlineLevel="0" collapsed="false">
      <c r="C109" s="4" t="str">
        <f aca="false">IF(B109="","",IFERROR(INDEX(Opportunities!$B:$B,MATCH(B109,Opportunities!$A:$A,0)),""))</f>
        <v/>
      </c>
      <c r="J109" s="3"/>
      <c r="L109" s="3"/>
      <c r="M109" s="4" t="str">
        <f aca="true">IF(OR(L109="",K109="Replied",K109="Referred",K109="Declined"),"",IF(L109&lt;TODAY(),"OVERDUE",IF(L109-TODAY()&lt;=2,"Due soon","")))</f>
        <v/>
      </c>
    </row>
    <row r="110" customFormat="false" ht="15" hidden="false" customHeight="false" outlineLevel="0" collapsed="false">
      <c r="C110" s="4" t="str">
        <f aca="false">IF(B110="","",IFERROR(INDEX(Opportunities!$B:$B,MATCH(B110,Opportunities!$A:$A,0)),""))</f>
        <v/>
      </c>
      <c r="J110" s="3"/>
      <c r="L110" s="3"/>
      <c r="M110" s="4" t="str">
        <f aca="true">IF(OR(L110="",K110="Replied",K110="Referred",K110="Declined"),"",IF(L110&lt;TODAY(),"OVERDUE",IF(L110-TODAY()&lt;=2,"Due soon","")))</f>
        <v/>
      </c>
    </row>
    <row r="111" customFormat="false" ht="15" hidden="false" customHeight="false" outlineLevel="0" collapsed="false">
      <c r="C111" s="4" t="str">
        <f aca="false">IF(B111="","",IFERROR(INDEX(Opportunities!$B:$B,MATCH(B111,Opportunities!$A:$A,0)),""))</f>
        <v/>
      </c>
      <c r="J111" s="3"/>
      <c r="L111" s="3"/>
      <c r="M111" s="4" t="str">
        <f aca="true">IF(OR(L111="",K111="Replied",K111="Referred",K111="Declined"),"",IF(L111&lt;TODAY(),"OVERDUE",IF(L111-TODAY()&lt;=2,"Due soon","")))</f>
        <v/>
      </c>
    </row>
    <row r="112" customFormat="false" ht="15" hidden="false" customHeight="false" outlineLevel="0" collapsed="false">
      <c r="C112" s="4" t="str">
        <f aca="false">IF(B112="","",IFERROR(INDEX(Opportunities!$B:$B,MATCH(B112,Opportunities!$A:$A,0)),""))</f>
        <v/>
      </c>
      <c r="J112" s="3"/>
      <c r="L112" s="3"/>
      <c r="M112" s="4" t="str">
        <f aca="true">IF(OR(L112="",K112="Replied",K112="Referred",K112="Declined"),"",IF(L112&lt;TODAY(),"OVERDUE",IF(L112-TODAY()&lt;=2,"Due soon","")))</f>
        <v/>
      </c>
    </row>
    <row r="113" customFormat="false" ht="15" hidden="false" customHeight="false" outlineLevel="0" collapsed="false">
      <c r="C113" s="4" t="str">
        <f aca="false">IF(B113="","",IFERROR(INDEX(Opportunities!$B:$B,MATCH(B113,Opportunities!$A:$A,0)),""))</f>
        <v/>
      </c>
      <c r="J113" s="3"/>
      <c r="L113" s="3"/>
      <c r="M113" s="4" t="str">
        <f aca="true">IF(OR(L113="",K113="Replied",K113="Referred",K113="Declined"),"",IF(L113&lt;TODAY(),"OVERDUE",IF(L113-TODAY()&lt;=2,"Due soon","")))</f>
        <v/>
      </c>
    </row>
    <row r="114" customFormat="false" ht="15" hidden="false" customHeight="false" outlineLevel="0" collapsed="false">
      <c r="C114" s="4" t="str">
        <f aca="false">IF(B114="","",IFERROR(INDEX(Opportunities!$B:$B,MATCH(B114,Opportunities!$A:$A,0)),""))</f>
        <v/>
      </c>
      <c r="J114" s="3"/>
      <c r="L114" s="3"/>
      <c r="M114" s="4" t="str">
        <f aca="true">IF(OR(L114="",K114="Replied",K114="Referred",K114="Declined"),"",IF(L114&lt;TODAY(),"OVERDUE",IF(L114-TODAY()&lt;=2,"Due soon","")))</f>
        <v/>
      </c>
    </row>
    <row r="115" customFormat="false" ht="15" hidden="false" customHeight="false" outlineLevel="0" collapsed="false">
      <c r="C115" s="4" t="str">
        <f aca="false">IF(B115="","",IFERROR(INDEX(Opportunities!$B:$B,MATCH(B115,Opportunities!$A:$A,0)),""))</f>
        <v/>
      </c>
      <c r="J115" s="3"/>
      <c r="L115" s="3"/>
      <c r="M115" s="4" t="str">
        <f aca="true">IF(OR(L115="",K115="Replied",K115="Referred",K115="Declined"),"",IF(L115&lt;TODAY(),"OVERDUE",IF(L115-TODAY()&lt;=2,"Due soon","")))</f>
        <v/>
      </c>
    </row>
    <row r="116" customFormat="false" ht="15" hidden="false" customHeight="false" outlineLevel="0" collapsed="false">
      <c r="C116" s="4" t="str">
        <f aca="false">IF(B116="","",IFERROR(INDEX(Opportunities!$B:$B,MATCH(B116,Opportunities!$A:$A,0)),""))</f>
        <v/>
      </c>
      <c r="J116" s="3"/>
      <c r="L116" s="3"/>
      <c r="M116" s="4" t="str">
        <f aca="true">IF(OR(L116="",K116="Replied",K116="Referred",K116="Declined"),"",IF(L116&lt;TODAY(),"OVERDUE",IF(L116-TODAY()&lt;=2,"Due soon","")))</f>
        <v/>
      </c>
    </row>
    <row r="117" customFormat="false" ht="15" hidden="false" customHeight="false" outlineLevel="0" collapsed="false">
      <c r="C117" s="4" t="str">
        <f aca="false">IF(B117="","",IFERROR(INDEX(Opportunities!$B:$B,MATCH(B117,Opportunities!$A:$A,0)),""))</f>
        <v/>
      </c>
      <c r="J117" s="3"/>
      <c r="L117" s="3"/>
      <c r="M117" s="4" t="str">
        <f aca="true">IF(OR(L117="",K117="Replied",K117="Referred",K117="Declined"),"",IF(L117&lt;TODAY(),"OVERDUE",IF(L117-TODAY()&lt;=2,"Due soon","")))</f>
        <v/>
      </c>
    </row>
    <row r="118" customFormat="false" ht="15" hidden="false" customHeight="false" outlineLevel="0" collapsed="false">
      <c r="C118" s="4" t="str">
        <f aca="false">IF(B118="","",IFERROR(INDEX(Opportunities!$B:$B,MATCH(B118,Opportunities!$A:$A,0)),""))</f>
        <v/>
      </c>
      <c r="J118" s="3"/>
      <c r="L118" s="3"/>
      <c r="M118" s="4" t="str">
        <f aca="true">IF(OR(L118="",K118="Replied",K118="Referred",K118="Declined"),"",IF(L118&lt;TODAY(),"OVERDUE",IF(L118-TODAY()&lt;=2,"Due soon","")))</f>
        <v/>
      </c>
    </row>
    <row r="119" customFormat="false" ht="15" hidden="false" customHeight="false" outlineLevel="0" collapsed="false">
      <c r="C119" s="4" t="str">
        <f aca="false">IF(B119="","",IFERROR(INDEX(Opportunities!$B:$B,MATCH(B119,Opportunities!$A:$A,0)),""))</f>
        <v/>
      </c>
      <c r="J119" s="3"/>
      <c r="L119" s="3"/>
      <c r="M119" s="4" t="str">
        <f aca="true">IF(OR(L119="",K119="Replied",K119="Referred",K119="Declined"),"",IF(L119&lt;TODAY(),"OVERDUE",IF(L119-TODAY()&lt;=2,"Due soon","")))</f>
        <v/>
      </c>
    </row>
    <row r="120" customFormat="false" ht="15" hidden="false" customHeight="false" outlineLevel="0" collapsed="false">
      <c r="C120" s="4" t="str">
        <f aca="false">IF(B120="","",IFERROR(INDEX(Opportunities!$B:$B,MATCH(B120,Opportunities!$A:$A,0)),""))</f>
        <v/>
      </c>
      <c r="J120" s="3"/>
      <c r="L120" s="3"/>
      <c r="M120" s="4" t="str">
        <f aca="true">IF(OR(L120="",K120="Replied",K120="Referred",K120="Declined"),"",IF(L120&lt;TODAY(),"OVERDUE",IF(L120-TODAY()&lt;=2,"Due soon","")))</f>
        <v/>
      </c>
    </row>
    <row r="121" customFormat="false" ht="15" hidden="false" customHeight="false" outlineLevel="0" collapsed="false">
      <c r="C121" s="4" t="str">
        <f aca="false">IF(B121="","",IFERROR(INDEX(Opportunities!$B:$B,MATCH(B121,Opportunities!$A:$A,0)),""))</f>
        <v/>
      </c>
      <c r="J121" s="3"/>
      <c r="L121" s="3"/>
      <c r="M121" s="4" t="str">
        <f aca="true">IF(OR(L121="",K121="Replied",K121="Referred",K121="Declined"),"",IF(L121&lt;TODAY(),"OVERDUE",IF(L121-TODAY()&lt;=2,"Due soon","")))</f>
        <v/>
      </c>
    </row>
    <row r="122" customFormat="false" ht="15" hidden="false" customHeight="false" outlineLevel="0" collapsed="false">
      <c r="C122" s="4" t="str">
        <f aca="false">IF(B122="","",IFERROR(INDEX(Opportunities!$B:$B,MATCH(B122,Opportunities!$A:$A,0)),""))</f>
        <v/>
      </c>
      <c r="J122" s="3"/>
      <c r="L122" s="3"/>
      <c r="M122" s="4" t="str">
        <f aca="true">IF(OR(L122="",K122="Replied",K122="Referred",K122="Declined"),"",IF(L122&lt;TODAY(),"OVERDUE",IF(L122-TODAY()&lt;=2,"Due soon","")))</f>
        <v/>
      </c>
    </row>
    <row r="123" customFormat="false" ht="15" hidden="false" customHeight="false" outlineLevel="0" collapsed="false">
      <c r="C123" s="4" t="str">
        <f aca="false">IF(B123="","",IFERROR(INDEX(Opportunities!$B:$B,MATCH(B123,Opportunities!$A:$A,0)),""))</f>
        <v/>
      </c>
      <c r="J123" s="3"/>
      <c r="L123" s="3"/>
      <c r="M123" s="4" t="str">
        <f aca="true">IF(OR(L123="",K123="Replied",K123="Referred",K123="Declined"),"",IF(L123&lt;TODAY(),"OVERDUE",IF(L123-TODAY()&lt;=2,"Due soon","")))</f>
        <v/>
      </c>
    </row>
    <row r="124" customFormat="false" ht="15" hidden="false" customHeight="false" outlineLevel="0" collapsed="false">
      <c r="C124" s="4" t="str">
        <f aca="false">IF(B124="","",IFERROR(INDEX(Opportunities!$B:$B,MATCH(B124,Opportunities!$A:$A,0)),""))</f>
        <v/>
      </c>
      <c r="J124" s="3"/>
      <c r="L124" s="3"/>
      <c r="M124" s="4" t="str">
        <f aca="true">IF(OR(L124="",K124="Replied",K124="Referred",K124="Declined"),"",IF(L124&lt;TODAY(),"OVERDUE",IF(L124-TODAY()&lt;=2,"Due soon","")))</f>
        <v/>
      </c>
    </row>
    <row r="125" customFormat="false" ht="15" hidden="false" customHeight="false" outlineLevel="0" collapsed="false">
      <c r="C125" s="4" t="str">
        <f aca="false">IF(B125="","",IFERROR(INDEX(Opportunities!$B:$B,MATCH(B125,Opportunities!$A:$A,0)),""))</f>
        <v/>
      </c>
      <c r="J125" s="3"/>
      <c r="L125" s="3"/>
      <c r="M125" s="4" t="str">
        <f aca="true">IF(OR(L125="",K125="Replied",K125="Referred",K125="Declined"),"",IF(L125&lt;TODAY(),"OVERDUE",IF(L125-TODAY()&lt;=2,"Due soon","")))</f>
        <v/>
      </c>
    </row>
    <row r="126" customFormat="false" ht="15" hidden="false" customHeight="false" outlineLevel="0" collapsed="false">
      <c r="C126" s="4" t="str">
        <f aca="false">IF(B126="","",IFERROR(INDEX(Opportunities!$B:$B,MATCH(B126,Opportunities!$A:$A,0)),""))</f>
        <v/>
      </c>
      <c r="J126" s="3"/>
      <c r="L126" s="3"/>
      <c r="M126" s="4" t="str">
        <f aca="true">IF(OR(L126="",K126="Replied",K126="Referred",K126="Declined"),"",IF(L126&lt;TODAY(),"OVERDUE",IF(L126-TODAY()&lt;=2,"Due soon","")))</f>
        <v/>
      </c>
    </row>
    <row r="127" customFormat="false" ht="15" hidden="false" customHeight="false" outlineLevel="0" collapsed="false">
      <c r="C127" s="4" t="str">
        <f aca="false">IF(B127="","",IFERROR(INDEX(Opportunities!$B:$B,MATCH(B127,Opportunities!$A:$A,0)),""))</f>
        <v/>
      </c>
      <c r="J127" s="3"/>
      <c r="L127" s="3"/>
      <c r="M127" s="4" t="str">
        <f aca="true">IF(OR(L127="",K127="Replied",K127="Referred",K127="Declined"),"",IF(L127&lt;TODAY(),"OVERDUE",IF(L127-TODAY()&lt;=2,"Due soon","")))</f>
        <v/>
      </c>
    </row>
    <row r="128" customFormat="false" ht="15" hidden="false" customHeight="false" outlineLevel="0" collapsed="false">
      <c r="C128" s="4" t="str">
        <f aca="false">IF(B128="","",IFERROR(INDEX(Opportunities!$B:$B,MATCH(B128,Opportunities!$A:$A,0)),""))</f>
        <v/>
      </c>
      <c r="J128" s="3"/>
      <c r="L128" s="3"/>
      <c r="M128" s="4" t="str">
        <f aca="true">IF(OR(L128="",K128="Replied",K128="Referred",K128="Declined"),"",IF(L128&lt;TODAY(),"OVERDUE",IF(L128-TODAY()&lt;=2,"Due soon","")))</f>
        <v/>
      </c>
    </row>
    <row r="129" customFormat="false" ht="15" hidden="false" customHeight="false" outlineLevel="0" collapsed="false">
      <c r="C129" s="4" t="str">
        <f aca="false">IF(B129="","",IFERROR(INDEX(Opportunities!$B:$B,MATCH(B129,Opportunities!$A:$A,0)),""))</f>
        <v/>
      </c>
      <c r="J129" s="3"/>
      <c r="L129" s="3"/>
      <c r="M129" s="4" t="str">
        <f aca="true">IF(OR(L129="",K129="Replied",K129="Referred",K129="Declined"),"",IF(L129&lt;TODAY(),"OVERDUE",IF(L129-TODAY()&lt;=2,"Due soon","")))</f>
        <v/>
      </c>
    </row>
    <row r="130" customFormat="false" ht="15" hidden="false" customHeight="false" outlineLevel="0" collapsed="false">
      <c r="C130" s="4" t="str">
        <f aca="false">IF(B130="","",IFERROR(INDEX(Opportunities!$B:$B,MATCH(B130,Opportunities!$A:$A,0)),""))</f>
        <v/>
      </c>
      <c r="J130" s="3"/>
      <c r="L130" s="3"/>
      <c r="M130" s="4" t="str">
        <f aca="true">IF(OR(L130="",K130="Replied",K130="Referred",K130="Declined"),"",IF(L130&lt;TODAY(),"OVERDUE",IF(L130-TODAY()&lt;=2,"Due soon","")))</f>
        <v/>
      </c>
    </row>
    <row r="131" customFormat="false" ht="15" hidden="false" customHeight="false" outlineLevel="0" collapsed="false">
      <c r="C131" s="4" t="str">
        <f aca="false">IF(B131="","",IFERROR(INDEX(Opportunities!$B:$B,MATCH(B131,Opportunities!$A:$A,0)),""))</f>
        <v/>
      </c>
      <c r="J131" s="3"/>
      <c r="L131" s="3"/>
      <c r="M131" s="4" t="str">
        <f aca="true">IF(OR(L131="",K131="Replied",K131="Referred",K131="Declined"),"",IF(L131&lt;TODAY(),"OVERDUE",IF(L131-TODAY()&lt;=2,"Due soon","")))</f>
        <v/>
      </c>
    </row>
    <row r="132" customFormat="false" ht="15" hidden="false" customHeight="false" outlineLevel="0" collapsed="false">
      <c r="C132" s="4" t="str">
        <f aca="false">IF(B132="","",IFERROR(INDEX(Opportunities!$B:$B,MATCH(B132,Opportunities!$A:$A,0)),""))</f>
        <v/>
      </c>
      <c r="J132" s="3"/>
      <c r="L132" s="3"/>
      <c r="M132" s="4" t="str">
        <f aca="true">IF(OR(L132="",K132="Replied",K132="Referred",K132="Declined"),"",IF(L132&lt;TODAY(),"OVERDUE",IF(L132-TODAY()&lt;=2,"Due soon","")))</f>
        <v/>
      </c>
    </row>
    <row r="133" customFormat="false" ht="15" hidden="false" customHeight="false" outlineLevel="0" collapsed="false">
      <c r="C133" s="4" t="str">
        <f aca="false">IF(B133="","",IFERROR(INDEX(Opportunities!$B:$B,MATCH(B133,Opportunities!$A:$A,0)),""))</f>
        <v/>
      </c>
      <c r="J133" s="3"/>
      <c r="L133" s="3"/>
      <c r="M133" s="4" t="str">
        <f aca="true">IF(OR(L133="",K133="Replied",K133="Referred",K133="Declined"),"",IF(L133&lt;TODAY(),"OVERDUE",IF(L133-TODAY()&lt;=2,"Due soon","")))</f>
        <v/>
      </c>
    </row>
    <row r="134" customFormat="false" ht="15" hidden="false" customHeight="false" outlineLevel="0" collapsed="false">
      <c r="C134" s="4" t="str">
        <f aca="false">IF(B134="","",IFERROR(INDEX(Opportunities!$B:$B,MATCH(B134,Opportunities!$A:$A,0)),""))</f>
        <v/>
      </c>
      <c r="J134" s="3"/>
      <c r="L134" s="3"/>
      <c r="M134" s="4" t="str">
        <f aca="true">IF(OR(L134="",K134="Replied",K134="Referred",K134="Declined"),"",IF(L134&lt;TODAY(),"OVERDUE",IF(L134-TODAY()&lt;=2,"Due soon","")))</f>
        <v/>
      </c>
    </row>
    <row r="135" customFormat="false" ht="15" hidden="false" customHeight="false" outlineLevel="0" collapsed="false">
      <c r="C135" s="4" t="str">
        <f aca="false">IF(B135="","",IFERROR(INDEX(Opportunities!$B:$B,MATCH(B135,Opportunities!$A:$A,0)),""))</f>
        <v/>
      </c>
      <c r="J135" s="3"/>
      <c r="L135" s="3"/>
      <c r="M135" s="4" t="str">
        <f aca="true">IF(OR(L135="",K135="Replied",K135="Referred",K135="Declined"),"",IF(L135&lt;TODAY(),"OVERDUE",IF(L135-TODAY()&lt;=2,"Due soon","")))</f>
        <v/>
      </c>
    </row>
    <row r="136" customFormat="false" ht="15" hidden="false" customHeight="false" outlineLevel="0" collapsed="false">
      <c r="C136" s="4" t="str">
        <f aca="false">IF(B136="","",IFERROR(INDEX(Opportunities!$B:$B,MATCH(B136,Opportunities!$A:$A,0)),""))</f>
        <v/>
      </c>
      <c r="J136" s="3"/>
      <c r="L136" s="3"/>
      <c r="M136" s="4" t="str">
        <f aca="true">IF(OR(L136="",K136="Replied",K136="Referred",K136="Declined"),"",IF(L136&lt;TODAY(),"OVERDUE",IF(L136-TODAY()&lt;=2,"Due soon","")))</f>
        <v/>
      </c>
    </row>
    <row r="137" customFormat="false" ht="15" hidden="false" customHeight="false" outlineLevel="0" collapsed="false">
      <c r="C137" s="4" t="str">
        <f aca="false">IF(B137="","",IFERROR(INDEX(Opportunities!$B:$B,MATCH(B137,Opportunities!$A:$A,0)),""))</f>
        <v/>
      </c>
      <c r="J137" s="3"/>
      <c r="L137" s="3"/>
      <c r="M137" s="4" t="str">
        <f aca="true">IF(OR(L137="",K137="Replied",K137="Referred",K137="Declined"),"",IF(L137&lt;TODAY(),"OVERDUE",IF(L137-TODAY()&lt;=2,"Due soon","")))</f>
        <v/>
      </c>
    </row>
    <row r="138" customFormat="false" ht="15" hidden="false" customHeight="false" outlineLevel="0" collapsed="false">
      <c r="C138" s="4" t="str">
        <f aca="false">IF(B138="","",IFERROR(INDEX(Opportunities!$B:$B,MATCH(B138,Opportunities!$A:$A,0)),""))</f>
        <v/>
      </c>
      <c r="J138" s="3"/>
      <c r="L138" s="3"/>
      <c r="M138" s="4" t="str">
        <f aca="true">IF(OR(L138="",K138="Replied",K138="Referred",K138="Declined"),"",IF(L138&lt;TODAY(),"OVERDUE",IF(L138-TODAY()&lt;=2,"Due soon","")))</f>
        <v/>
      </c>
    </row>
    <row r="139" customFormat="false" ht="15" hidden="false" customHeight="false" outlineLevel="0" collapsed="false">
      <c r="C139" s="4" t="str">
        <f aca="false">IF(B139="","",IFERROR(INDEX(Opportunities!$B:$B,MATCH(B139,Opportunities!$A:$A,0)),""))</f>
        <v/>
      </c>
      <c r="J139" s="3"/>
      <c r="L139" s="3"/>
      <c r="M139" s="4" t="str">
        <f aca="true">IF(OR(L139="",K139="Replied",K139="Referred",K139="Declined"),"",IF(L139&lt;TODAY(),"OVERDUE",IF(L139-TODAY()&lt;=2,"Due soon","")))</f>
        <v/>
      </c>
    </row>
    <row r="140" customFormat="false" ht="15" hidden="false" customHeight="false" outlineLevel="0" collapsed="false">
      <c r="C140" s="4" t="str">
        <f aca="false">IF(B140="","",IFERROR(INDEX(Opportunities!$B:$B,MATCH(B140,Opportunities!$A:$A,0)),""))</f>
        <v/>
      </c>
      <c r="J140" s="3"/>
      <c r="L140" s="3"/>
      <c r="M140" s="4" t="str">
        <f aca="true">IF(OR(L140="",K140="Replied",K140="Referred",K140="Declined"),"",IF(L140&lt;TODAY(),"OVERDUE",IF(L140-TODAY()&lt;=2,"Due soon","")))</f>
        <v/>
      </c>
    </row>
    <row r="141" customFormat="false" ht="15" hidden="false" customHeight="false" outlineLevel="0" collapsed="false">
      <c r="C141" s="4" t="str">
        <f aca="false">IF(B141="","",IFERROR(INDEX(Opportunities!$B:$B,MATCH(B141,Opportunities!$A:$A,0)),""))</f>
        <v/>
      </c>
      <c r="J141" s="3"/>
      <c r="L141" s="3"/>
      <c r="M141" s="4" t="str">
        <f aca="true">IF(OR(L141="",K141="Replied",K141="Referred",K141="Declined"),"",IF(L141&lt;TODAY(),"OVERDUE",IF(L141-TODAY()&lt;=2,"Due soon","")))</f>
        <v/>
      </c>
    </row>
    <row r="142" customFormat="false" ht="15" hidden="false" customHeight="false" outlineLevel="0" collapsed="false">
      <c r="C142" s="4" t="str">
        <f aca="false">IF(B142="","",IFERROR(INDEX(Opportunities!$B:$B,MATCH(B142,Opportunities!$A:$A,0)),""))</f>
        <v/>
      </c>
      <c r="J142" s="3"/>
      <c r="L142" s="3"/>
      <c r="M142" s="4" t="str">
        <f aca="true">IF(OR(L142="",K142="Replied",K142="Referred",K142="Declined"),"",IF(L142&lt;TODAY(),"OVERDUE",IF(L142-TODAY()&lt;=2,"Due soon","")))</f>
        <v/>
      </c>
    </row>
    <row r="143" customFormat="false" ht="15" hidden="false" customHeight="false" outlineLevel="0" collapsed="false">
      <c r="C143" s="4" t="str">
        <f aca="false">IF(B143="","",IFERROR(INDEX(Opportunities!$B:$B,MATCH(B143,Opportunities!$A:$A,0)),""))</f>
        <v/>
      </c>
      <c r="J143" s="3"/>
      <c r="L143" s="3"/>
      <c r="M143" s="4" t="str">
        <f aca="true">IF(OR(L143="",K143="Replied",K143="Referred",K143="Declined"),"",IF(L143&lt;TODAY(),"OVERDUE",IF(L143-TODAY()&lt;=2,"Due soon","")))</f>
        <v/>
      </c>
    </row>
    <row r="144" customFormat="false" ht="15" hidden="false" customHeight="false" outlineLevel="0" collapsed="false">
      <c r="C144" s="4" t="str">
        <f aca="false">IF(B144="","",IFERROR(INDEX(Opportunities!$B:$B,MATCH(B144,Opportunities!$A:$A,0)),""))</f>
        <v/>
      </c>
      <c r="J144" s="3"/>
      <c r="L144" s="3"/>
      <c r="M144" s="4" t="str">
        <f aca="true">IF(OR(L144="",K144="Replied",K144="Referred",K144="Declined"),"",IF(L144&lt;TODAY(),"OVERDUE",IF(L144-TODAY()&lt;=2,"Due soon","")))</f>
        <v/>
      </c>
    </row>
    <row r="145" customFormat="false" ht="15" hidden="false" customHeight="false" outlineLevel="0" collapsed="false">
      <c r="C145" s="4" t="str">
        <f aca="false">IF(B145="","",IFERROR(INDEX(Opportunities!$B:$B,MATCH(B145,Opportunities!$A:$A,0)),""))</f>
        <v/>
      </c>
      <c r="J145" s="3"/>
      <c r="L145" s="3"/>
      <c r="M145" s="4" t="str">
        <f aca="true">IF(OR(L145="",K145="Replied",K145="Referred",K145="Declined"),"",IF(L145&lt;TODAY(),"OVERDUE",IF(L145-TODAY()&lt;=2,"Due soon","")))</f>
        <v/>
      </c>
    </row>
    <row r="146" customFormat="false" ht="15" hidden="false" customHeight="false" outlineLevel="0" collapsed="false">
      <c r="C146" s="4" t="str">
        <f aca="false">IF(B146="","",IFERROR(INDEX(Opportunities!$B:$B,MATCH(B146,Opportunities!$A:$A,0)),""))</f>
        <v/>
      </c>
      <c r="J146" s="3"/>
      <c r="L146" s="3"/>
      <c r="M146" s="4" t="str">
        <f aca="true">IF(OR(L146="",K146="Replied",K146="Referred",K146="Declined"),"",IF(L146&lt;TODAY(),"OVERDUE",IF(L146-TODAY()&lt;=2,"Due soon","")))</f>
        <v/>
      </c>
    </row>
    <row r="147" customFormat="false" ht="15" hidden="false" customHeight="false" outlineLevel="0" collapsed="false">
      <c r="C147" s="4" t="str">
        <f aca="false">IF(B147="","",IFERROR(INDEX(Opportunities!$B:$B,MATCH(B147,Opportunities!$A:$A,0)),""))</f>
        <v/>
      </c>
      <c r="J147" s="3"/>
      <c r="L147" s="3"/>
      <c r="M147" s="4" t="str">
        <f aca="true">IF(OR(L147="",K147="Replied",K147="Referred",K147="Declined"),"",IF(L147&lt;TODAY(),"OVERDUE",IF(L147-TODAY()&lt;=2,"Due soon","")))</f>
        <v/>
      </c>
    </row>
    <row r="148" customFormat="false" ht="15" hidden="false" customHeight="false" outlineLevel="0" collapsed="false">
      <c r="C148" s="4" t="str">
        <f aca="false">IF(B148="","",IFERROR(INDEX(Opportunities!$B:$B,MATCH(B148,Opportunities!$A:$A,0)),""))</f>
        <v/>
      </c>
      <c r="J148" s="3"/>
      <c r="L148" s="3"/>
      <c r="M148" s="4" t="str">
        <f aca="true">IF(OR(L148="",K148="Replied",K148="Referred",K148="Declined"),"",IF(L148&lt;TODAY(),"OVERDUE",IF(L148-TODAY()&lt;=2,"Due soon","")))</f>
        <v/>
      </c>
    </row>
    <row r="149" customFormat="false" ht="15" hidden="false" customHeight="false" outlineLevel="0" collapsed="false">
      <c r="C149" s="4" t="str">
        <f aca="false">IF(B149="","",IFERROR(INDEX(Opportunities!$B:$B,MATCH(B149,Opportunities!$A:$A,0)),""))</f>
        <v/>
      </c>
      <c r="J149" s="3"/>
      <c r="L149" s="3"/>
      <c r="M149" s="4" t="str">
        <f aca="true">IF(OR(L149="",K149="Replied",K149="Referred",K149="Declined"),"",IF(L149&lt;TODAY(),"OVERDUE",IF(L149-TODAY()&lt;=2,"Due soon","")))</f>
        <v/>
      </c>
    </row>
    <row r="150" customFormat="false" ht="15" hidden="false" customHeight="false" outlineLevel="0" collapsed="false">
      <c r="C150" s="4" t="str">
        <f aca="false">IF(B150="","",IFERROR(INDEX(Opportunities!$B:$B,MATCH(B150,Opportunities!$A:$A,0)),""))</f>
        <v/>
      </c>
      <c r="J150" s="3"/>
      <c r="L150" s="3"/>
      <c r="M150" s="4" t="str">
        <f aca="true">IF(OR(L150="",K150="Replied",K150="Referred",K150="Declined"),"",IF(L150&lt;TODAY(),"OVERDUE",IF(L150-TODAY()&lt;=2,"Due soon","")))</f>
        <v/>
      </c>
    </row>
    <row r="151" customFormat="false" ht="15" hidden="false" customHeight="false" outlineLevel="0" collapsed="false">
      <c r="C151" s="4" t="str">
        <f aca="false">IF(B151="","",IFERROR(INDEX(Opportunities!$B:$B,MATCH(B151,Opportunities!$A:$A,0)),""))</f>
        <v/>
      </c>
      <c r="J151" s="3"/>
      <c r="L151" s="3"/>
      <c r="M151" s="4" t="str">
        <f aca="true">IF(OR(L151="",K151="Replied",K151="Referred",K151="Declined"),"",IF(L151&lt;TODAY(),"OVERDUE",IF(L151-TODAY()&lt;=2,"Due soon","")))</f>
        <v/>
      </c>
    </row>
    <row r="152" customFormat="false" ht="15" hidden="false" customHeight="false" outlineLevel="0" collapsed="false">
      <c r="C152" s="4" t="str">
        <f aca="false">IF(B152="","",IFERROR(INDEX(Opportunities!$B:$B,MATCH(B152,Opportunities!$A:$A,0)),""))</f>
        <v/>
      </c>
      <c r="J152" s="3"/>
      <c r="L152" s="3"/>
      <c r="M152" s="4" t="str">
        <f aca="true">IF(OR(L152="",K152="Replied",K152="Referred",K152="Declined"),"",IF(L152&lt;TODAY(),"OVERDUE",IF(L152-TODAY()&lt;=2,"Due soon","")))</f>
        <v/>
      </c>
    </row>
    <row r="153" customFormat="false" ht="15" hidden="false" customHeight="false" outlineLevel="0" collapsed="false">
      <c r="C153" s="4" t="str">
        <f aca="false">IF(B153="","",IFERROR(INDEX(Opportunities!$B:$B,MATCH(B153,Opportunities!$A:$A,0)),""))</f>
        <v/>
      </c>
      <c r="J153" s="3"/>
      <c r="L153" s="3"/>
      <c r="M153" s="4" t="str">
        <f aca="true">IF(OR(L153="",K153="Replied",K153="Referred",K153="Declined"),"",IF(L153&lt;TODAY(),"OVERDUE",IF(L153-TODAY()&lt;=2,"Due soon","")))</f>
        <v/>
      </c>
    </row>
    <row r="154" customFormat="false" ht="15" hidden="false" customHeight="false" outlineLevel="0" collapsed="false">
      <c r="C154" s="4" t="str">
        <f aca="false">IF(B154="","",IFERROR(INDEX(Opportunities!$B:$B,MATCH(B154,Opportunities!$A:$A,0)),""))</f>
        <v/>
      </c>
      <c r="J154" s="3"/>
      <c r="L154" s="3"/>
      <c r="M154" s="4" t="str">
        <f aca="true">IF(OR(L154="",K154="Replied",K154="Referred",K154="Declined"),"",IF(L154&lt;TODAY(),"OVERDUE",IF(L154-TODAY()&lt;=2,"Due soon","")))</f>
        <v/>
      </c>
    </row>
    <row r="155" customFormat="false" ht="15" hidden="false" customHeight="false" outlineLevel="0" collapsed="false">
      <c r="C155" s="4" t="str">
        <f aca="false">IF(B155="","",IFERROR(INDEX(Opportunities!$B:$B,MATCH(B155,Opportunities!$A:$A,0)),""))</f>
        <v/>
      </c>
      <c r="J155" s="3"/>
      <c r="L155" s="3"/>
      <c r="M155" s="4" t="str">
        <f aca="true">IF(OR(L155="",K155="Replied",K155="Referred",K155="Declined"),"",IF(L155&lt;TODAY(),"OVERDUE",IF(L155-TODAY()&lt;=2,"Due soon","")))</f>
        <v/>
      </c>
    </row>
    <row r="156" customFormat="false" ht="15" hidden="false" customHeight="false" outlineLevel="0" collapsed="false">
      <c r="C156" s="4" t="str">
        <f aca="false">IF(B156="","",IFERROR(INDEX(Opportunities!$B:$B,MATCH(B156,Opportunities!$A:$A,0)),""))</f>
        <v/>
      </c>
      <c r="J156" s="3"/>
      <c r="L156" s="3"/>
      <c r="M156" s="4" t="str">
        <f aca="true">IF(OR(L156="",K156="Replied",K156="Referred",K156="Declined"),"",IF(L156&lt;TODAY(),"OVERDUE",IF(L156-TODAY()&lt;=2,"Due soon","")))</f>
        <v/>
      </c>
    </row>
    <row r="157" customFormat="false" ht="15" hidden="false" customHeight="false" outlineLevel="0" collapsed="false">
      <c r="C157" s="4" t="str">
        <f aca="false">IF(B157="","",IFERROR(INDEX(Opportunities!$B:$B,MATCH(B157,Opportunities!$A:$A,0)),""))</f>
        <v/>
      </c>
      <c r="J157" s="3"/>
      <c r="L157" s="3"/>
      <c r="M157" s="4" t="str">
        <f aca="true">IF(OR(L157="",K157="Replied",K157="Referred",K157="Declined"),"",IF(L157&lt;TODAY(),"OVERDUE",IF(L157-TODAY()&lt;=2,"Due soon","")))</f>
        <v/>
      </c>
    </row>
    <row r="158" customFormat="false" ht="15" hidden="false" customHeight="false" outlineLevel="0" collapsed="false">
      <c r="C158" s="4" t="str">
        <f aca="false">IF(B158="","",IFERROR(INDEX(Opportunities!$B:$B,MATCH(B158,Opportunities!$A:$A,0)),""))</f>
        <v/>
      </c>
      <c r="J158" s="3"/>
      <c r="L158" s="3"/>
      <c r="M158" s="4" t="str">
        <f aca="true">IF(OR(L158="",K158="Replied",K158="Referred",K158="Declined"),"",IF(L158&lt;TODAY(),"OVERDUE",IF(L158-TODAY()&lt;=2,"Due soon","")))</f>
        <v/>
      </c>
    </row>
    <row r="159" customFormat="false" ht="15" hidden="false" customHeight="false" outlineLevel="0" collapsed="false">
      <c r="C159" s="4" t="str">
        <f aca="false">IF(B159="","",IFERROR(INDEX(Opportunities!$B:$B,MATCH(B159,Opportunities!$A:$A,0)),""))</f>
        <v/>
      </c>
      <c r="J159" s="3"/>
      <c r="L159" s="3"/>
      <c r="M159" s="4" t="str">
        <f aca="true">IF(OR(L159="",K159="Replied",K159="Referred",K159="Declined"),"",IF(L159&lt;TODAY(),"OVERDUE",IF(L159-TODAY()&lt;=2,"Due soon","")))</f>
        <v/>
      </c>
    </row>
    <row r="160" customFormat="false" ht="15" hidden="false" customHeight="false" outlineLevel="0" collapsed="false">
      <c r="C160" s="4" t="str">
        <f aca="false">IF(B160="","",IFERROR(INDEX(Opportunities!$B:$B,MATCH(B160,Opportunities!$A:$A,0)),""))</f>
        <v/>
      </c>
      <c r="J160" s="3"/>
      <c r="L160" s="3"/>
      <c r="M160" s="4" t="str">
        <f aca="true">IF(OR(L160="",K160="Replied",K160="Referred",K160="Declined"),"",IF(L160&lt;TODAY(),"OVERDUE",IF(L160-TODAY()&lt;=2,"Due soon","")))</f>
        <v/>
      </c>
    </row>
    <row r="161" customFormat="false" ht="15" hidden="false" customHeight="false" outlineLevel="0" collapsed="false">
      <c r="C161" s="4" t="str">
        <f aca="false">IF(B161="","",IFERROR(INDEX(Opportunities!$B:$B,MATCH(B161,Opportunities!$A:$A,0)),""))</f>
        <v/>
      </c>
      <c r="J161" s="3"/>
      <c r="L161" s="3"/>
      <c r="M161" s="4" t="str">
        <f aca="true">IF(OR(L161="",K161="Replied",K161="Referred",K161="Declined"),"",IF(L161&lt;TODAY(),"OVERDUE",IF(L161-TODAY()&lt;=2,"Due soon","")))</f>
        <v/>
      </c>
    </row>
    <row r="162" customFormat="false" ht="15" hidden="false" customHeight="false" outlineLevel="0" collapsed="false">
      <c r="C162" s="4" t="str">
        <f aca="false">IF(B162="","",IFERROR(INDEX(Opportunities!$B:$B,MATCH(B162,Opportunities!$A:$A,0)),""))</f>
        <v/>
      </c>
      <c r="J162" s="3"/>
      <c r="L162" s="3"/>
      <c r="M162" s="4" t="str">
        <f aca="true">IF(OR(L162="",K162="Replied",K162="Referred",K162="Declined"),"",IF(L162&lt;TODAY(),"OVERDUE",IF(L162-TODAY()&lt;=2,"Due soon","")))</f>
        <v/>
      </c>
    </row>
    <row r="163" customFormat="false" ht="15" hidden="false" customHeight="false" outlineLevel="0" collapsed="false">
      <c r="C163" s="4" t="str">
        <f aca="false">IF(B163="","",IFERROR(INDEX(Opportunities!$B:$B,MATCH(B163,Opportunities!$A:$A,0)),""))</f>
        <v/>
      </c>
      <c r="J163" s="3"/>
      <c r="L163" s="3"/>
      <c r="M163" s="4" t="str">
        <f aca="true">IF(OR(L163="",K163="Replied",K163="Referred",K163="Declined"),"",IF(L163&lt;TODAY(),"OVERDUE",IF(L163-TODAY()&lt;=2,"Due soon","")))</f>
        <v/>
      </c>
    </row>
    <row r="164" customFormat="false" ht="15" hidden="false" customHeight="false" outlineLevel="0" collapsed="false">
      <c r="C164" s="4" t="str">
        <f aca="false">IF(B164="","",IFERROR(INDEX(Opportunities!$B:$B,MATCH(B164,Opportunities!$A:$A,0)),""))</f>
        <v/>
      </c>
      <c r="J164" s="3"/>
      <c r="L164" s="3"/>
      <c r="M164" s="4" t="str">
        <f aca="true">IF(OR(L164="",K164="Replied",K164="Referred",K164="Declined"),"",IF(L164&lt;TODAY(),"OVERDUE",IF(L164-TODAY()&lt;=2,"Due soon","")))</f>
        <v/>
      </c>
    </row>
    <row r="165" customFormat="false" ht="15" hidden="false" customHeight="false" outlineLevel="0" collapsed="false">
      <c r="C165" s="4" t="str">
        <f aca="false">IF(B165="","",IFERROR(INDEX(Opportunities!$B:$B,MATCH(B165,Opportunities!$A:$A,0)),""))</f>
        <v/>
      </c>
      <c r="J165" s="3"/>
      <c r="L165" s="3"/>
      <c r="M165" s="4" t="str">
        <f aca="true">IF(OR(L165="",K165="Replied",K165="Referred",K165="Declined"),"",IF(L165&lt;TODAY(),"OVERDUE",IF(L165-TODAY()&lt;=2,"Due soon","")))</f>
        <v/>
      </c>
    </row>
    <row r="166" customFormat="false" ht="15" hidden="false" customHeight="false" outlineLevel="0" collapsed="false">
      <c r="C166" s="4" t="str">
        <f aca="false">IF(B166="","",IFERROR(INDEX(Opportunities!$B:$B,MATCH(B166,Opportunities!$A:$A,0)),""))</f>
        <v/>
      </c>
      <c r="J166" s="3"/>
      <c r="L166" s="3"/>
      <c r="M166" s="4" t="str">
        <f aca="true">IF(OR(L166="",K166="Replied",K166="Referred",K166="Declined"),"",IF(L166&lt;TODAY(),"OVERDUE",IF(L166-TODAY()&lt;=2,"Due soon","")))</f>
        <v/>
      </c>
    </row>
    <row r="167" customFormat="false" ht="15" hidden="false" customHeight="false" outlineLevel="0" collapsed="false">
      <c r="C167" s="4" t="str">
        <f aca="false">IF(B167="","",IFERROR(INDEX(Opportunities!$B:$B,MATCH(B167,Opportunities!$A:$A,0)),""))</f>
        <v/>
      </c>
      <c r="J167" s="3"/>
      <c r="L167" s="3"/>
      <c r="M167" s="4" t="str">
        <f aca="true">IF(OR(L167="",K167="Replied",K167="Referred",K167="Declined"),"",IF(L167&lt;TODAY(),"OVERDUE",IF(L167-TODAY()&lt;=2,"Due soon","")))</f>
        <v/>
      </c>
    </row>
    <row r="168" customFormat="false" ht="15" hidden="false" customHeight="false" outlineLevel="0" collapsed="false">
      <c r="C168" s="4" t="str">
        <f aca="false">IF(B168="","",IFERROR(INDEX(Opportunities!$B:$B,MATCH(B168,Opportunities!$A:$A,0)),""))</f>
        <v/>
      </c>
      <c r="J168" s="3"/>
      <c r="L168" s="3"/>
      <c r="M168" s="4" t="str">
        <f aca="true">IF(OR(L168="",K168="Replied",K168="Referred",K168="Declined"),"",IF(L168&lt;TODAY(),"OVERDUE",IF(L168-TODAY()&lt;=2,"Due soon","")))</f>
        <v/>
      </c>
    </row>
    <row r="169" customFormat="false" ht="15" hidden="false" customHeight="false" outlineLevel="0" collapsed="false">
      <c r="C169" s="4" t="str">
        <f aca="false">IF(B169="","",IFERROR(INDEX(Opportunities!$B:$B,MATCH(B169,Opportunities!$A:$A,0)),""))</f>
        <v/>
      </c>
      <c r="J169" s="3"/>
      <c r="L169" s="3"/>
      <c r="M169" s="4" t="str">
        <f aca="true">IF(OR(L169="",K169="Replied",K169="Referred",K169="Declined"),"",IF(L169&lt;TODAY(),"OVERDUE",IF(L169-TODAY()&lt;=2,"Due soon","")))</f>
        <v/>
      </c>
    </row>
    <row r="170" customFormat="false" ht="15" hidden="false" customHeight="false" outlineLevel="0" collapsed="false">
      <c r="C170" s="4" t="str">
        <f aca="false">IF(B170="","",IFERROR(INDEX(Opportunities!$B:$B,MATCH(B170,Opportunities!$A:$A,0)),""))</f>
        <v/>
      </c>
      <c r="J170" s="3"/>
      <c r="L170" s="3"/>
      <c r="M170" s="4" t="str">
        <f aca="true">IF(OR(L170="",K170="Replied",K170="Referred",K170="Declined"),"",IF(L170&lt;TODAY(),"OVERDUE",IF(L170-TODAY()&lt;=2,"Due soon","")))</f>
        <v/>
      </c>
    </row>
    <row r="171" customFormat="false" ht="15" hidden="false" customHeight="false" outlineLevel="0" collapsed="false">
      <c r="C171" s="4" t="str">
        <f aca="false">IF(B171="","",IFERROR(INDEX(Opportunities!$B:$B,MATCH(B171,Opportunities!$A:$A,0)),""))</f>
        <v/>
      </c>
      <c r="J171" s="3"/>
      <c r="L171" s="3"/>
      <c r="M171" s="4" t="str">
        <f aca="true">IF(OR(L171="",K171="Replied",K171="Referred",K171="Declined"),"",IF(L171&lt;TODAY(),"OVERDUE",IF(L171-TODAY()&lt;=2,"Due soon","")))</f>
        <v/>
      </c>
    </row>
    <row r="172" customFormat="false" ht="15" hidden="false" customHeight="false" outlineLevel="0" collapsed="false">
      <c r="C172" s="4" t="str">
        <f aca="false">IF(B172="","",IFERROR(INDEX(Opportunities!$B:$B,MATCH(B172,Opportunities!$A:$A,0)),""))</f>
        <v/>
      </c>
      <c r="J172" s="3"/>
      <c r="L172" s="3"/>
      <c r="M172" s="4" t="str">
        <f aca="true">IF(OR(L172="",K172="Replied",K172="Referred",K172="Declined"),"",IF(L172&lt;TODAY(),"OVERDUE",IF(L172-TODAY()&lt;=2,"Due soon","")))</f>
        <v/>
      </c>
    </row>
    <row r="173" customFormat="false" ht="15" hidden="false" customHeight="false" outlineLevel="0" collapsed="false">
      <c r="C173" s="4" t="str">
        <f aca="false">IF(B173="","",IFERROR(INDEX(Opportunities!$B:$B,MATCH(B173,Opportunities!$A:$A,0)),""))</f>
        <v/>
      </c>
      <c r="J173" s="3"/>
      <c r="L173" s="3"/>
      <c r="M173" s="4" t="str">
        <f aca="true">IF(OR(L173="",K173="Replied",K173="Referred",K173="Declined"),"",IF(L173&lt;TODAY(),"OVERDUE",IF(L173-TODAY()&lt;=2,"Due soon","")))</f>
        <v/>
      </c>
    </row>
    <row r="174" customFormat="false" ht="15" hidden="false" customHeight="false" outlineLevel="0" collapsed="false">
      <c r="C174" s="4" t="str">
        <f aca="false">IF(B174="","",IFERROR(INDEX(Opportunities!$B:$B,MATCH(B174,Opportunities!$A:$A,0)),""))</f>
        <v/>
      </c>
      <c r="J174" s="3"/>
      <c r="L174" s="3"/>
      <c r="M174" s="4" t="str">
        <f aca="true">IF(OR(L174="",K174="Replied",K174="Referred",K174="Declined"),"",IF(L174&lt;TODAY(),"OVERDUE",IF(L174-TODAY()&lt;=2,"Due soon","")))</f>
        <v/>
      </c>
    </row>
    <row r="175" customFormat="false" ht="15" hidden="false" customHeight="false" outlineLevel="0" collapsed="false">
      <c r="C175" s="4" t="str">
        <f aca="false">IF(B175="","",IFERROR(INDEX(Opportunities!$B:$B,MATCH(B175,Opportunities!$A:$A,0)),""))</f>
        <v/>
      </c>
      <c r="J175" s="3"/>
      <c r="L175" s="3"/>
      <c r="M175" s="4" t="str">
        <f aca="true">IF(OR(L175="",K175="Replied",K175="Referred",K175="Declined"),"",IF(L175&lt;TODAY(),"OVERDUE",IF(L175-TODAY()&lt;=2,"Due soon","")))</f>
        <v/>
      </c>
    </row>
    <row r="176" customFormat="false" ht="15" hidden="false" customHeight="false" outlineLevel="0" collapsed="false">
      <c r="C176" s="4" t="str">
        <f aca="false">IF(B176="","",IFERROR(INDEX(Opportunities!$B:$B,MATCH(B176,Opportunities!$A:$A,0)),""))</f>
        <v/>
      </c>
      <c r="J176" s="3"/>
      <c r="L176" s="3"/>
      <c r="M176" s="4" t="str">
        <f aca="true">IF(OR(L176="",K176="Replied",K176="Referred",K176="Declined"),"",IF(L176&lt;TODAY(),"OVERDUE",IF(L176-TODAY()&lt;=2,"Due soon","")))</f>
        <v/>
      </c>
    </row>
    <row r="177" customFormat="false" ht="15" hidden="false" customHeight="false" outlineLevel="0" collapsed="false">
      <c r="C177" s="4" t="str">
        <f aca="false">IF(B177="","",IFERROR(INDEX(Opportunities!$B:$B,MATCH(B177,Opportunities!$A:$A,0)),""))</f>
        <v/>
      </c>
      <c r="J177" s="3"/>
      <c r="L177" s="3"/>
      <c r="M177" s="4" t="str">
        <f aca="true">IF(OR(L177="",K177="Replied",K177="Referred",K177="Declined"),"",IF(L177&lt;TODAY(),"OVERDUE",IF(L177-TODAY()&lt;=2,"Due soon","")))</f>
        <v/>
      </c>
    </row>
    <row r="178" customFormat="false" ht="15" hidden="false" customHeight="false" outlineLevel="0" collapsed="false">
      <c r="C178" s="4" t="str">
        <f aca="false">IF(B178="","",IFERROR(INDEX(Opportunities!$B:$B,MATCH(B178,Opportunities!$A:$A,0)),""))</f>
        <v/>
      </c>
      <c r="J178" s="3"/>
      <c r="L178" s="3"/>
      <c r="M178" s="4" t="str">
        <f aca="true">IF(OR(L178="",K178="Replied",K178="Referred",K178="Declined"),"",IF(L178&lt;TODAY(),"OVERDUE",IF(L178-TODAY()&lt;=2,"Due soon","")))</f>
        <v/>
      </c>
    </row>
    <row r="179" customFormat="false" ht="15" hidden="false" customHeight="false" outlineLevel="0" collapsed="false">
      <c r="C179" s="4" t="str">
        <f aca="false">IF(B179="","",IFERROR(INDEX(Opportunities!$B:$B,MATCH(B179,Opportunities!$A:$A,0)),""))</f>
        <v/>
      </c>
      <c r="J179" s="3"/>
      <c r="L179" s="3"/>
      <c r="M179" s="4" t="str">
        <f aca="true">IF(OR(L179="",K179="Replied",K179="Referred",K179="Declined"),"",IF(L179&lt;TODAY(),"OVERDUE",IF(L179-TODAY()&lt;=2,"Due soon","")))</f>
        <v/>
      </c>
    </row>
    <row r="180" customFormat="false" ht="15" hidden="false" customHeight="false" outlineLevel="0" collapsed="false">
      <c r="C180" s="4" t="str">
        <f aca="false">IF(B180="","",IFERROR(INDEX(Opportunities!$B:$B,MATCH(B180,Opportunities!$A:$A,0)),""))</f>
        <v/>
      </c>
      <c r="J180" s="3"/>
      <c r="L180" s="3"/>
      <c r="M180" s="4" t="str">
        <f aca="true">IF(OR(L180="",K180="Replied",K180="Referred",K180="Declined"),"",IF(L180&lt;TODAY(),"OVERDUE",IF(L180-TODAY()&lt;=2,"Due soon","")))</f>
        <v/>
      </c>
    </row>
    <row r="181" customFormat="false" ht="15" hidden="false" customHeight="false" outlineLevel="0" collapsed="false">
      <c r="C181" s="4" t="str">
        <f aca="false">IF(B181="","",IFERROR(INDEX(Opportunities!$B:$B,MATCH(B181,Opportunities!$A:$A,0)),""))</f>
        <v/>
      </c>
      <c r="J181" s="3"/>
      <c r="L181" s="3"/>
      <c r="M181" s="4" t="str">
        <f aca="true">IF(OR(L181="",K181="Replied",K181="Referred",K181="Declined"),"",IF(L181&lt;TODAY(),"OVERDUE",IF(L181-TODAY()&lt;=2,"Due soon","")))</f>
        <v/>
      </c>
    </row>
    <row r="182" customFormat="false" ht="15" hidden="false" customHeight="false" outlineLevel="0" collapsed="false">
      <c r="C182" s="4" t="str">
        <f aca="false">IF(B182="","",IFERROR(INDEX(Opportunities!$B:$B,MATCH(B182,Opportunities!$A:$A,0)),""))</f>
        <v/>
      </c>
      <c r="J182" s="3"/>
      <c r="L182" s="3"/>
      <c r="M182" s="4" t="str">
        <f aca="true">IF(OR(L182="",K182="Replied",K182="Referred",K182="Declined"),"",IF(L182&lt;TODAY(),"OVERDUE",IF(L182-TODAY()&lt;=2,"Due soon","")))</f>
        <v/>
      </c>
    </row>
    <row r="183" customFormat="false" ht="15" hidden="false" customHeight="false" outlineLevel="0" collapsed="false">
      <c r="C183" s="4" t="str">
        <f aca="false">IF(B183="","",IFERROR(INDEX(Opportunities!$B:$B,MATCH(B183,Opportunities!$A:$A,0)),""))</f>
        <v/>
      </c>
      <c r="J183" s="3"/>
      <c r="L183" s="3"/>
      <c r="M183" s="4" t="str">
        <f aca="true">IF(OR(L183="",K183="Replied",K183="Referred",K183="Declined"),"",IF(L183&lt;TODAY(),"OVERDUE",IF(L183-TODAY()&lt;=2,"Due soon","")))</f>
        <v/>
      </c>
    </row>
    <row r="184" customFormat="false" ht="15" hidden="false" customHeight="false" outlineLevel="0" collapsed="false">
      <c r="C184" s="4" t="str">
        <f aca="false">IF(B184="","",IFERROR(INDEX(Opportunities!$B:$B,MATCH(B184,Opportunities!$A:$A,0)),""))</f>
        <v/>
      </c>
      <c r="J184" s="3"/>
      <c r="L184" s="3"/>
      <c r="M184" s="4" t="str">
        <f aca="true">IF(OR(L184="",K184="Replied",K184="Referred",K184="Declined"),"",IF(L184&lt;TODAY(),"OVERDUE",IF(L184-TODAY()&lt;=2,"Due soon","")))</f>
        <v/>
      </c>
    </row>
    <row r="185" customFormat="false" ht="15" hidden="false" customHeight="false" outlineLevel="0" collapsed="false">
      <c r="C185" s="4" t="str">
        <f aca="false">IF(B185="","",IFERROR(INDEX(Opportunities!$B:$B,MATCH(B185,Opportunities!$A:$A,0)),""))</f>
        <v/>
      </c>
      <c r="J185" s="3"/>
      <c r="L185" s="3"/>
      <c r="M185" s="4" t="str">
        <f aca="true">IF(OR(L185="",K185="Replied",K185="Referred",K185="Declined"),"",IF(L185&lt;TODAY(),"OVERDUE",IF(L185-TODAY()&lt;=2,"Due soon","")))</f>
        <v/>
      </c>
    </row>
    <row r="186" customFormat="false" ht="15" hidden="false" customHeight="false" outlineLevel="0" collapsed="false">
      <c r="C186" s="4" t="str">
        <f aca="false">IF(B186="","",IFERROR(INDEX(Opportunities!$B:$B,MATCH(B186,Opportunities!$A:$A,0)),""))</f>
        <v/>
      </c>
      <c r="J186" s="3"/>
      <c r="L186" s="3"/>
      <c r="M186" s="4" t="str">
        <f aca="true">IF(OR(L186="",K186="Replied",K186="Referred",K186="Declined"),"",IF(L186&lt;TODAY(),"OVERDUE",IF(L186-TODAY()&lt;=2,"Due soon","")))</f>
        <v/>
      </c>
    </row>
    <row r="187" customFormat="false" ht="15" hidden="false" customHeight="false" outlineLevel="0" collapsed="false">
      <c r="C187" s="4" t="str">
        <f aca="false">IF(B187="","",IFERROR(INDEX(Opportunities!$B:$B,MATCH(B187,Opportunities!$A:$A,0)),""))</f>
        <v/>
      </c>
      <c r="J187" s="3"/>
      <c r="L187" s="3"/>
      <c r="M187" s="4" t="str">
        <f aca="true">IF(OR(L187="",K187="Replied",K187="Referred",K187="Declined"),"",IF(L187&lt;TODAY(),"OVERDUE",IF(L187-TODAY()&lt;=2,"Due soon","")))</f>
        <v/>
      </c>
    </row>
    <row r="188" customFormat="false" ht="15" hidden="false" customHeight="false" outlineLevel="0" collapsed="false">
      <c r="C188" s="4" t="str">
        <f aca="false">IF(B188="","",IFERROR(INDEX(Opportunities!$B:$B,MATCH(B188,Opportunities!$A:$A,0)),""))</f>
        <v/>
      </c>
      <c r="J188" s="3"/>
      <c r="L188" s="3"/>
      <c r="M188" s="4" t="str">
        <f aca="true">IF(OR(L188="",K188="Replied",K188="Referred",K188="Declined"),"",IF(L188&lt;TODAY(),"OVERDUE",IF(L188-TODAY()&lt;=2,"Due soon","")))</f>
        <v/>
      </c>
    </row>
    <row r="189" customFormat="false" ht="15" hidden="false" customHeight="false" outlineLevel="0" collapsed="false">
      <c r="C189" s="4" t="str">
        <f aca="false">IF(B189="","",IFERROR(INDEX(Opportunities!$B:$B,MATCH(B189,Opportunities!$A:$A,0)),""))</f>
        <v/>
      </c>
      <c r="J189" s="3"/>
      <c r="L189" s="3"/>
      <c r="M189" s="4" t="str">
        <f aca="true">IF(OR(L189="",K189="Replied",K189="Referred",K189="Declined"),"",IF(L189&lt;TODAY(),"OVERDUE",IF(L189-TODAY()&lt;=2,"Due soon","")))</f>
        <v/>
      </c>
    </row>
    <row r="190" customFormat="false" ht="15" hidden="false" customHeight="false" outlineLevel="0" collapsed="false">
      <c r="C190" s="4" t="str">
        <f aca="false">IF(B190="","",IFERROR(INDEX(Opportunities!$B:$B,MATCH(B190,Opportunities!$A:$A,0)),""))</f>
        <v/>
      </c>
      <c r="J190" s="3"/>
      <c r="L190" s="3"/>
      <c r="M190" s="4" t="str">
        <f aca="true">IF(OR(L190="",K190="Replied",K190="Referred",K190="Declined"),"",IF(L190&lt;TODAY(),"OVERDUE",IF(L190-TODAY()&lt;=2,"Due soon","")))</f>
        <v/>
      </c>
    </row>
    <row r="191" customFormat="false" ht="15" hidden="false" customHeight="false" outlineLevel="0" collapsed="false">
      <c r="C191" s="4" t="str">
        <f aca="false">IF(B191="","",IFERROR(INDEX(Opportunities!$B:$B,MATCH(B191,Opportunities!$A:$A,0)),""))</f>
        <v/>
      </c>
      <c r="J191" s="3"/>
      <c r="L191" s="3"/>
      <c r="M191" s="4" t="str">
        <f aca="true">IF(OR(L191="",K191="Replied",K191="Referred",K191="Declined"),"",IF(L191&lt;TODAY(),"OVERDUE",IF(L191-TODAY()&lt;=2,"Due soon","")))</f>
        <v/>
      </c>
    </row>
    <row r="192" customFormat="false" ht="15" hidden="false" customHeight="false" outlineLevel="0" collapsed="false">
      <c r="C192" s="4" t="str">
        <f aca="false">IF(B192="","",IFERROR(INDEX(Opportunities!$B:$B,MATCH(B192,Opportunities!$A:$A,0)),""))</f>
        <v/>
      </c>
      <c r="J192" s="3"/>
      <c r="L192" s="3"/>
      <c r="M192" s="4" t="str">
        <f aca="true">IF(OR(L192="",K192="Replied",K192="Referred",K192="Declined"),"",IF(L192&lt;TODAY(),"OVERDUE",IF(L192-TODAY()&lt;=2,"Due soon","")))</f>
        <v/>
      </c>
    </row>
    <row r="193" customFormat="false" ht="15" hidden="false" customHeight="false" outlineLevel="0" collapsed="false">
      <c r="C193" s="4" t="str">
        <f aca="false">IF(B193="","",IFERROR(INDEX(Opportunities!$B:$B,MATCH(B193,Opportunities!$A:$A,0)),""))</f>
        <v/>
      </c>
      <c r="J193" s="3"/>
      <c r="L193" s="3"/>
      <c r="M193" s="4" t="str">
        <f aca="true">IF(OR(L193="",K193="Replied",K193="Referred",K193="Declined"),"",IF(L193&lt;TODAY(),"OVERDUE",IF(L193-TODAY()&lt;=2,"Due soon","")))</f>
        <v/>
      </c>
    </row>
    <row r="194" customFormat="false" ht="15" hidden="false" customHeight="false" outlineLevel="0" collapsed="false">
      <c r="C194" s="4" t="str">
        <f aca="false">IF(B194="","",IFERROR(INDEX(Opportunities!$B:$B,MATCH(B194,Opportunities!$A:$A,0)),""))</f>
        <v/>
      </c>
      <c r="J194" s="3"/>
      <c r="L194" s="3"/>
      <c r="M194" s="4" t="str">
        <f aca="true">IF(OR(L194="",K194="Replied",K194="Referred",K194="Declined"),"",IF(L194&lt;TODAY(),"OVERDUE",IF(L194-TODAY()&lt;=2,"Due soon","")))</f>
        <v/>
      </c>
    </row>
    <row r="195" customFormat="false" ht="15" hidden="false" customHeight="false" outlineLevel="0" collapsed="false">
      <c r="C195" s="4" t="str">
        <f aca="false">IF(B195="","",IFERROR(INDEX(Opportunities!$B:$B,MATCH(B195,Opportunities!$A:$A,0)),""))</f>
        <v/>
      </c>
      <c r="J195" s="3"/>
      <c r="L195" s="3"/>
      <c r="M195" s="4" t="str">
        <f aca="true">IF(OR(L195="",K195="Replied",K195="Referred",K195="Declined"),"",IF(L195&lt;TODAY(),"OVERDUE",IF(L195-TODAY()&lt;=2,"Due soon","")))</f>
        <v/>
      </c>
    </row>
    <row r="196" customFormat="false" ht="15" hidden="false" customHeight="false" outlineLevel="0" collapsed="false">
      <c r="C196" s="4" t="str">
        <f aca="false">IF(B196="","",IFERROR(INDEX(Opportunities!$B:$B,MATCH(B196,Opportunities!$A:$A,0)),""))</f>
        <v/>
      </c>
      <c r="J196" s="3"/>
      <c r="L196" s="3"/>
      <c r="M196" s="4" t="str">
        <f aca="true">IF(OR(L196="",K196="Replied",K196="Referred",K196="Declined"),"",IF(L196&lt;TODAY(),"OVERDUE",IF(L196-TODAY()&lt;=2,"Due soon","")))</f>
        <v/>
      </c>
    </row>
    <row r="197" customFormat="false" ht="15" hidden="false" customHeight="false" outlineLevel="0" collapsed="false">
      <c r="C197" s="4" t="str">
        <f aca="false">IF(B197="","",IFERROR(INDEX(Opportunities!$B:$B,MATCH(B197,Opportunities!$A:$A,0)),""))</f>
        <v/>
      </c>
      <c r="J197" s="3"/>
      <c r="L197" s="3"/>
      <c r="M197" s="4" t="str">
        <f aca="true">IF(OR(L197="",K197="Replied",K197="Referred",K197="Declined"),"",IF(L197&lt;TODAY(),"OVERDUE",IF(L197-TODAY()&lt;=2,"Due soon","")))</f>
        <v/>
      </c>
    </row>
    <row r="198" customFormat="false" ht="15" hidden="false" customHeight="false" outlineLevel="0" collapsed="false">
      <c r="C198" s="4" t="str">
        <f aca="false">IF(B198="","",IFERROR(INDEX(Opportunities!$B:$B,MATCH(B198,Opportunities!$A:$A,0)),""))</f>
        <v/>
      </c>
      <c r="J198" s="3"/>
      <c r="L198" s="3"/>
      <c r="M198" s="4" t="str">
        <f aca="true">IF(OR(L198="",K198="Replied",K198="Referred",K198="Declined"),"",IF(L198&lt;TODAY(),"OVERDUE",IF(L198-TODAY()&lt;=2,"Due soon","")))</f>
        <v/>
      </c>
    </row>
    <row r="199" customFormat="false" ht="15" hidden="false" customHeight="false" outlineLevel="0" collapsed="false">
      <c r="C199" s="4" t="str">
        <f aca="false">IF(B199="","",IFERROR(INDEX(Opportunities!$B:$B,MATCH(B199,Opportunities!$A:$A,0)),""))</f>
        <v/>
      </c>
      <c r="J199" s="3"/>
      <c r="L199" s="3"/>
      <c r="M199" s="4" t="str">
        <f aca="true">IF(OR(L199="",K199="Replied",K199="Referred",K199="Declined"),"",IF(L199&lt;TODAY(),"OVERDUE",IF(L199-TODAY()&lt;=2,"Due soon","")))</f>
        <v/>
      </c>
    </row>
    <row r="200" customFormat="false" ht="15" hidden="false" customHeight="false" outlineLevel="0" collapsed="false">
      <c r="C200" s="4" t="str">
        <f aca="false">IF(B200="","",IFERROR(INDEX(Opportunities!$B:$B,MATCH(B200,Opportunities!$A:$A,0)),""))</f>
        <v/>
      </c>
      <c r="J200" s="3"/>
      <c r="L200" s="3"/>
      <c r="M200" s="4" t="str">
        <f aca="true">IF(OR(L200="",K200="Replied",K200="Referred",K200="Declined"),"",IF(L200&lt;TODAY(),"OVERDUE",IF(L200-TODAY()&lt;=2,"Due soon","")))</f>
        <v/>
      </c>
    </row>
    <row r="201" customFormat="false" ht="15" hidden="false" customHeight="false" outlineLevel="0" collapsed="false">
      <c r="C201" s="4" t="str">
        <f aca="false">IF(B201="","",IFERROR(INDEX(Opportunities!$B:$B,MATCH(B201,Opportunities!$A:$A,0)),""))</f>
        <v/>
      </c>
      <c r="J201" s="3"/>
      <c r="L201" s="3"/>
      <c r="M201" s="4" t="str">
        <f aca="true">IF(OR(L201="",K201="Replied",K201="Referred",K201="Declined"),"",IF(L201&lt;TODAY(),"OVERDUE",IF(L201-TODAY()&lt;=2,"Due soon","")))</f>
        <v/>
      </c>
    </row>
    <row r="202" customFormat="false" ht="15" hidden="false" customHeight="false" outlineLevel="0" collapsed="false">
      <c r="C202" s="4" t="str">
        <f aca="false">IF(B202="","",IFERROR(INDEX(Opportunities!$B:$B,MATCH(B202,Opportunities!$A:$A,0)),""))</f>
        <v/>
      </c>
      <c r="J202" s="3"/>
      <c r="L202" s="3"/>
      <c r="M202" s="4" t="str">
        <f aca="true">IF(OR(L202="",K202="Replied",K202="Referred",K202="Declined"),"",IF(L202&lt;TODAY(),"OVERDUE",IF(L202-TODAY()&lt;=2,"Due soon","")))</f>
        <v/>
      </c>
    </row>
    <row r="203" customFormat="false" ht="15" hidden="false" customHeight="false" outlineLevel="0" collapsed="false">
      <c r="C203" s="4" t="str">
        <f aca="false">IF(B203="","",IFERROR(INDEX(Opportunities!$B:$B,MATCH(B203,Opportunities!$A:$A,0)),""))</f>
        <v/>
      </c>
      <c r="J203" s="3"/>
      <c r="L203" s="3"/>
      <c r="M203" s="4" t="str">
        <f aca="true">IF(OR(L203="",K203="Replied",K203="Referred",K203="Declined"),"",IF(L203&lt;TODAY(),"OVERDUE",IF(L203-TODAY()&lt;=2,"Due soon","")))</f>
        <v/>
      </c>
    </row>
    <row r="204" customFormat="false" ht="15" hidden="false" customHeight="false" outlineLevel="0" collapsed="false">
      <c r="C204" s="4" t="str">
        <f aca="false">IF(B204="","",IFERROR(INDEX(Opportunities!$B:$B,MATCH(B204,Opportunities!$A:$A,0)),""))</f>
        <v/>
      </c>
      <c r="J204" s="3"/>
      <c r="L204" s="3"/>
      <c r="M204" s="4" t="str">
        <f aca="true">IF(OR(L204="",K204="Replied",K204="Referred",K204="Declined"),"",IF(L204&lt;TODAY(),"OVERDUE",IF(L204-TODAY()&lt;=2,"Due soon","")))</f>
        <v/>
      </c>
    </row>
    <row r="205" customFormat="false" ht="15" hidden="false" customHeight="false" outlineLevel="0" collapsed="false">
      <c r="C205" s="4" t="str">
        <f aca="false">IF(B205="","",IFERROR(INDEX(Opportunities!$B:$B,MATCH(B205,Opportunities!$A:$A,0)),""))</f>
        <v/>
      </c>
      <c r="J205" s="3"/>
      <c r="L205" s="3"/>
      <c r="M205" s="4" t="str">
        <f aca="true">IF(OR(L205="",K205="Replied",K205="Referred",K205="Declined"),"",IF(L205&lt;TODAY(),"OVERDUE",IF(L205-TODAY()&lt;=2,"Due soon","")))</f>
        <v/>
      </c>
    </row>
    <row r="206" customFormat="false" ht="15" hidden="false" customHeight="false" outlineLevel="0" collapsed="false">
      <c r="C206" s="4" t="str">
        <f aca="false">IF(B206="","",IFERROR(INDEX(Opportunities!$B:$B,MATCH(B206,Opportunities!$A:$A,0)),""))</f>
        <v/>
      </c>
      <c r="J206" s="3"/>
      <c r="L206" s="3"/>
      <c r="M206" s="4" t="str">
        <f aca="true">IF(OR(L206="",K206="Replied",K206="Referred",K206="Declined"),"",IF(L206&lt;TODAY(),"OVERDUE",IF(L206-TODAY()&lt;=2,"Due soon","")))</f>
        <v/>
      </c>
    </row>
    <row r="207" customFormat="false" ht="15" hidden="false" customHeight="false" outlineLevel="0" collapsed="false">
      <c r="C207" s="4" t="str">
        <f aca="false">IF(B207="","",IFERROR(INDEX(Opportunities!$B:$B,MATCH(B207,Opportunities!$A:$A,0)),""))</f>
        <v/>
      </c>
      <c r="J207" s="3"/>
      <c r="L207" s="3"/>
      <c r="M207" s="4" t="str">
        <f aca="true">IF(OR(L207="",K207="Replied",K207="Referred",K207="Declined"),"",IF(L207&lt;TODAY(),"OVERDUE",IF(L207-TODAY()&lt;=2,"Due soon","")))</f>
        <v/>
      </c>
    </row>
    <row r="208" customFormat="false" ht="15" hidden="false" customHeight="false" outlineLevel="0" collapsed="false">
      <c r="C208" s="4" t="str">
        <f aca="false">IF(B208="","",IFERROR(INDEX(Opportunities!$B:$B,MATCH(B208,Opportunities!$A:$A,0)),""))</f>
        <v/>
      </c>
      <c r="J208" s="3"/>
      <c r="L208" s="3"/>
      <c r="M208" s="4" t="str">
        <f aca="true">IF(OR(L208="",K208="Replied",K208="Referred",K208="Declined"),"",IF(L208&lt;TODAY(),"OVERDUE",IF(L208-TODAY()&lt;=2,"Due soon","")))</f>
        <v/>
      </c>
    </row>
    <row r="209" customFormat="false" ht="15" hidden="false" customHeight="false" outlineLevel="0" collapsed="false">
      <c r="C209" s="4" t="str">
        <f aca="false">IF(B209="","",IFERROR(INDEX(Opportunities!$B:$B,MATCH(B209,Opportunities!$A:$A,0)),""))</f>
        <v/>
      </c>
      <c r="J209" s="3"/>
      <c r="L209" s="3"/>
      <c r="M209" s="4" t="str">
        <f aca="true">IF(OR(L209="",K209="Replied",K209="Referred",K209="Declined"),"",IF(L209&lt;TODAY(),"OVERDUE",IF(L209-TODAY()&lt;=2,"Due soon","")))</f>
        <v/>
      </c>
    </row>
    <row r="210" customFormat="false" ht="15" hidden="false" customHeight="false" outlineLevel="0" collapsed="false">
      <c r="C210" s="4" t="str">
        <f aca="false">IF(B210="","",IFERROR(INDEX(Opportunities!$B:$B,MATCH(B210,Opportunities!$A:$A,0)),""))</f>
        <v/>
      </c>
      <c r="J210" s="3"/>
      <c r="L210" s="3"/>
      <c r="M210" s="4" t="str">
        <f aca="true">IF(OR(L210="",K210="Replied",K210="Referred",K210="Declined"),"",IF(L210&lt;TODAY(),"OVERDUE",IF(L210-TODAY()&lt;=2,"Due soon","")))</f>
        <v/>
      </c>
    </row>
    <row r="211" customFormat="false" ht="15" hidden="false" customHeight="false" outlineLevel="0" collapsed="false">
      <c r="C211" s="4" t="str">
        <f aca="false">IF(B211="","",IFERROR(INDEX(Opportunities!$B:$B,MATCH(B211,Opportunities!$A:$A,0)),""))</f>
        <v/>
      </c>
      <c r="J211" s="3"/>
      <c r="L211" s="3"/>
      <c r="M211" s="4" t="str">
        <f aca="true">IF(OR(L211="",K211="Replied",K211="Referred",K211="Declined"),"",IF(L211&lt;TODAY(),"OVERDUE",IF(L211-TODAY()&lt;=2,"Due soon","")))</f>
        <v/>
      </c>
    </row>
    <row r="212" customFormat="false" ht="15" hidden="false" customHeight="false" outlineLevel="0" collapsed="false">
      <c r="C212" s="4" t="str">
        <f aca="false">IF(B212="","",IFERROR(INDEX(Opportunities!$B:$B,MATCH(B212,Opportunities!$A:$A,0)),""))</f>
        <v/>
      </c>
      <c r="J212" s="3"/>
      <c r="L212" s="3"/>
      <c r="M212" s="4" t="str">
        <f aca="true">IF(OR(L212="",K212="Replied",K212="Referred",K212="Declined"),"",IF(L212&lt;TODAY(),"OVERDUE",IF(L212-TODAY()&lt;=2,"Due soon","")))</f>
        <v/>
      </c>
    </row>
    <row r="213" customFormat="false" ht="15" hidden="false" customHeight="false" outlineLevel="0" collapsed="false">
      <c r="C213" s="4" t="str">
        <f aca="false">IF(B213="","",IFERROR(INDEX(Opportunities!$B:$B,MATCH(B213,Opportunities!$A:$A,0)),""))</f>
        <v/>
      </c>
      <c r="J213" s="3"/>
      <c r="L213" s="3"/>
      <c r="M213" s="4" t="str">
        <f aca="true">IF(OR(L213="",K213="Replied",K213="Referred",K213="Declined"),"",IF(L213&lt;TODAY(),"OVERDUE",IF(L213-TODAY()&lt;=2,"Due soon","")))</f>
        <v/>
      </c>
    </row>
    <row r="214" customFormat="false" ht="15" hidden="false" customHeight="false" outlineLevel="0" collapsed="false">
      <c r="C214" s="4" t="str">
        <f aca="false">IF(B214="","",IFERROR(INDEX(Opportunities!$B:$B,MATCH(B214,Opportunities!$A:$A,0)),""))</f>
        <v/>
      </c>
      <c r="J214" s="3"/>
      <c r="L214" s="3"/>
      <c r="M214" s="4" t="str">
        <f aca="true">IF(OR(L214="",K214="Replied",K214="Referred",K214="Declined"),"",IF(L214&lt;TODAY(),"OVERDUE",IF(L214-TODAY()&lt;=2,"Due soon","")))</f>
        <v/>
      </c>
    </row>
    <row r="215" customFormat="false" ht="15" hidden="false" customHeight="false" outlineLevel="0" collapsed="false">
      <c r="C215" s="4" t="str">
        <f aca="false">IF(B215="","",IFERROR(INDEX(Opportunities!$B:$B,MATCH(B215,Opportunities!$A:$A,0)),""))</f>
        <v/>
      </c>
      <c r="J215" s="3"/>
      <c r="L215" s="3"/>
      <c r="M215" s="4" t="str">
        <f aca="true">IF(OR(L215="",K215="Replied",K215="Referred",K215="Declined"),"",IF(L215&lt;TODAY(),"OVERDUE",IF(L215-TODAY()&lt;=2,"Due soon","")))</f>
        <v/>
      </c>
    </row>
    <row r="216" customFormat="false" ht="15" hidden="false" customHeight="false" outlineLevel="0" collapsed="false">
      <c r="C216" s="4" t="str">
        <f aca="false">IF(B216="","",IFERROR(INDEX(Opportunities!$B:$B,MATCH(B216,Opportunities!$A:$A,0)),""))</f>
        <v/>
      </c>
      <c r="J216" s="3"/>
      <c r="L216" s="3"/>
      <c r="M216" s="4" t="str">
        <f aca="true">IF(OR(L216="",K216="Replied",K216="Referred",K216="Declined"),"",IF(L216&lt;TODAY(),"OVERDUE",IF(L216-TODAY()&lt;=2,"Due soon","")))</f>
        <v/>
      </c>
    </row>
    <row r="217" customFormat="false" ht="15" hidden="false" customHeight="false" outlineLevel="0" collapsed="false">
      <c r="C217" s="4" t="str">
        <f aca="false">IF(B217="","",IFERROR(INDEX(Opportunities!$B:$B,MATCH(B217,Opportunities!$A:$A,0)),""))</f>
        <v/>
      </c>
      <c r="J217" s="3"/>
      <c r="L217" s="3"/>
      <c r="M217" s="4" t="str">
        <f aca="true">IF(OR(L217="",K217="Replied",K217="Referred",K217="Declined"),"",IF(L217&lt;TODAY(),"OVERDUE",IF(L217-TODAY()&lt;=2,"Due soon","")))</f>
        <v/>
      </c>
    </row>
    <row r="218" customFormat="false" ht="15" hidden="false" customHeight="false" outlineLevel="0" collapsed="false">
      <c r="C218" s="4" t="str">
        <f aca="false">IF(B218="","",IFERROR(INDEX(Opportunities!$B:$B,MATCH(B218,Opportunities!$A:$A,0)),""))</f>
        <v/>
      </c>
      <c r="J218" s="3"/>
      <c r="L218" s="3"/>
      <c r="M218" s="4" t="str">
        <f aca="true">IF(OR(L218="",K218="Replied",K218="Referred",K218="Declined"),"",IF(L218&lt;TODAY(),"OVERDUE",IF(L218-TODAY()&lt;=2,"Due soon","")))</f>
        <v/>
      </c>
    </row>
    <row r="219" customFormat="false" ht="15" hidden="false" customHeight="false" outlineLevel="0" collapsed="false">
      <c r="C219" s="4" t="str">
        <f aca="false">IF(B219="","",IFERROR(INDEX(Opportunities!$B:$B,MATCH(B219,Opportunities!$A:$A,0)),""))</f>
        <v/>
      </c>
      <c r="J219" s="3"/>
      <c r="L219" s="3"/>
      <c r="M219" s="4" t="str">
        <f aca="true">IF(OR(L219="",K219="Replied",K219="Referred",K219="Declined"),"",IF(L219&lt;TODAY(),"OVERDUE",IF(L219-TODAY()&lt;=2,"Due soon","")))</f>
        <v/>
      </c>
    </row>
    <row r="220" customFormat="false" ht="15" hidden="false" customHeight="false" outlineLevel="0" collapsed="false">
      <c r="C220" s="4" t="str">
        <f aca="false">IF(B220="","",IFERROR(INDEX(Opportunities!$B:$B,MATCH(B220,Opportunities!$A:$A,0)),""))</f>
        <v/>
      </c>
      <c r="J220" s="3"/>
      <c r="L220" s="3"/>
      <c r="M220" s="4" t="str">
        <f aca="true">IF(OR(L220="",K220="Replied",K220="Referred",K220="Declined"),"",IF(L220&lt;TODAY(),"OVERDUE",IF(L220-TODAY()&lt;=2,"Due soon","")))</f>
        <v/>
      </c>
    </row>
    <row r="221" customFormat="false" ht="15" hidden="false" customHeight="false" outlineLevel="0" collapsed="false">
      <c r="C221" s="4" t="str">
        <f aca="false">IF(B221="","",IFERROR(INDEX(Opportunities!$B:$B,MATCH(B221,Opportunities!$A:$A,0)),""))</f>
        <v/>
      </c>
      <c r="J221" s="3"/>
      <c r="L221" s="3"/>
      <c r="M221" s="4" t="str">
        <f aca="true">IF(OR(L221="",K221="Replied",K221="Referred",K221="Declined"),"",IF(L221&lt;TODAY(),"OVERDUE",IF(L221-TODAY()&lt;=2,"Due soon","")))</f>
        <v/>
      </c>
    </row>
    <row r="222" customFormat="false" ht="15" hidden="false" customHeight="false" outlineLevel="0" collapsed="false">
      <c r="C222" s="4" t="str">
        <f aca="false">IF(B222="","",IFERROR(INDEX(Opportunities!$B:$B,MATCH(B222,Opportunities!$A:$A,0)),""))</f>
        <v/>
      </c>
      <c r="J222" s="3"/>
      <c r="L222" s="3"/>
      <c r="M222" s="4" t="str">
        <f aca="true">IF(OR(L222="",K222="Replied",K222="Referred",K222="Declined"),"",IF(L222&lt;TODAY(),"OVERDUE",IF(L222-TODAY()&lt;=2,"Due soon","")))</f>
        <v/>
      </c>
    </row>
    <row r="223" customFormat="false" ht="15" hidden="false" customHeight="false" outlineLevel="0" collapsed="false">
      <c r="C223" s="4" t="str">
        <f aca="false">IF(B223="","",IFERROR(INDEX(Opportunities!$B:$B,MATCH(B223,Opportunities!$A:$A,0)),""))</f>
        <v/>
      </c>
      <c r="J223" s="3"/>
      <c r="L223" s="3"/>
      <c r="M223" s="4" t="str">
        <f aca="true">IF(OR(L223="",K223="Replied",K223="Referred",K223="Declined"),"",IF(L223&lt;TODAY(),"OVERDUE",IF(L223-TODAY()&lt;=2,"Due soon","")))</f>
        <v/>
      </c>
    </row>
    <row r="224" customFormat="false" ht="15" hidden="false" customHeight="false" outlineLevel="0" collapsed="false">
      <c r="C224" s="4" t="str">
        <f aca="false">IF(B224="","",IFERROR(INDEX(Opportunities!$B:$B,MATCH(B224,Opportunities!$A:$A,0)),""))</f>
        <v/>
      </c>
      <c r="J224" s="3"/>
      <c r="L224" s="3"/>
      <c r="M224" s="4" t="str">
        <f aca="true">IF(OR(L224="",K224="Replied",K224="Referred",K224="Declined"),"",IF(L224&lt;TODAY(),"OVERDUE",IF(L224-TODAY()&lt;=2,"Due soon","")))</f>
        <v/>
      </c>
    </row>
    <row r="225" customFormat="false" ht="15" hidden="false" customHeight="false" outlineLevel="0" collapsed="false">
      <c r="C225" s="4" t="str">
        <f aca="false">IF(B225="","",IFERROR(INDEX(Opportunities!$B:$B,MATCH(B225,Opportunities!$A:$A,0)),""))</f>
        <v/>
      </c>
      <c r="J225" s="3"/>
      <c r="L225" s="3"/>
      <c r="M225" s="4" t="str">
        <f aca="true">IF(OR(L225="",K225="Replied",K225="Referred",K225="Declined"),"",IF(L225&lt;TODAY(),"OVERDUE",IF(L225-TODAY()&lt;=2,"Due soon","")))</f>
        <v/>
      </c>
    </row>
    <row r="226" customFormat="false" ht="15" hidden="false" customHeight="false" outlineLevel="0" collapsed="false">
      <c r="C226" s="4" t="str">
        <f aca="false">IF(B226="","",IFERROR(INDEX(Opportunities!$B:$B,MATCH(B226,Opportunities!$A:$A,0)),""))</f>
        <v/>
      </c>
      <c r="J226" s="3"/>
      <c r="L226" s="3"/>
      <c r="M226" s="4" t="str">
        <f aca="true">IF(OR(L226="",K226="Replied",K226="Referred",K226="Declined"),"",IF(L226&lt;TODAY(),"OVERDUE",IF(L226-TODAY()&lt;=2,"Due soon","")))</f>
        <v/>
      </c>
    </row>
    <row r="227" customFormat="false" ht="15" hidden="false" customHeight="false" outlineLevel="0" collapsed="false">
      <c r="C227" s="4" t="str">
        <f aca="false">IF(B227="","",IFERROR(INDEX(Opportunities!$B:$B,MATCH(B227,Opportunities!$A:$A,0)),""))</f>
        <v/>
      </c>
      <c r="J227" s="3"/>
      <c r="L227" s="3"/>
      <c r="M227" s="4" t="str">
        <f aca="true">IF(OR(L227="",K227="Replied",K227="Referred",K227="Declined"),"",IF(L227&lt;TODAY(),"OVERDUE",IF(L227-TODAY()&lt;=2,"Due soon","")))</f>
        <v/>
      </c>
    </row>
    <row r="228" customFormat="false" ht="15" hidden="false" customHeight="false" outlineLevel="0" collapsed="false">
      <c r="C228" s="4" t="str">
        <f aca="false">IF(B228="","",IFERROR(INDEX(Opportunities!$B:$B,MATCH(B228,Opportunities!$A:$A,0)),""))</f>
        <v/>
      </c>
      <c r="J228" s="3"/>
      <c r="L228" s="3"/>
      <c r="M228" s="4" t="str">
        <f aca="true">IF(OR(L228="",K228="Replied",K228="Referred",K228="Declined"),"",IF(L228&lt;TODAY(),"OVERDUE",IF(L228-TODAY()&lt;=2,"Due soon","")))</f>
        <v/>
      </c>
    </row>
    <row r="229" customFormat="false" ht="15" hidden="false" customHeight="false" outlineLevel="0" collapsed="false">
      <c r="C229" s="4" t="str">
        <f aca="false">IF(B229="","",IFERROR(INDEX(Opportunities!$B:$B,MATCH(B229,Opportunities!$A:$A,0)),""))</f>
        <v/>
      </c>
      <c r="J229" s="3"/>
      <c r="L229" s="3"/>
      <c r="M229" s="4" t="str">
        <f aca="true">IF(OR(L229="",K229="Replied",K229="Referred",K229="Declined"),"",IF(L229&lt;TODAY(),"OVERDUE",IF(L229-TODAY()&lt;=2,"Due soon","")))</f>
        <v/>
      </c>
    </row>
    <row r="230" customFormat="false" ht="15" hidden="false" customHeight="false" outlineLevel="0" collapsed="false">
      <c r="C230" s="4" t="str">
        <f aca="false">IF(B230="","",IFERROR(INDEX(Opportunities!$B:$B,MATCH(B230,Opportunities!$A:$A,0)),""))</f>
        <v/>
      </c>
      <c r="J230" s="3"/>
      <c r="L230" s="3"/>
      <c r="M230" s="4" t="str">
        <f aca="true">IF(OR(L230="",K230="Replied",K230="Referred",K230="Declined"),"",IF(L230&lt;TODAY(),"OVERDUE",IF(L230-TODAY()&lt;=2,"Due soon","")))</f>
        <v/>
      </c>
    </row>
    <row r="231" customFormat="false" ht="15" hidden="false" customHeight="false" outlineLevel="0" collapsed="false">
      <c r="C231" s="4" t="str">
        <f aca="false">IF(B231="","",IFERROR(INDEX(Opportunities!$B:$B,MATCH(B231,Opportunities!$A:$A,0)),""))</f>
        <v/>
      </c>
      <c r="J231" s="3"/>
      <c r="L231" s="3"/>
      <c r="M231" s="4" t="str">
        <f aca="true">IF(OR(L231="",K231="Replied",K231="Referred",K231="Declined"),"",IF(L231&lt;TODAY(),"OVERDUE",IF(L231-TODAY()&lt;=2,"Due soon","")))</f>
        <v/>
      </c>
    </row>
    <row r="232" customFormat="false" ht="15" hidden="false" customHeight="false" outlineLevel="0" collapsed="false">
      <c r="C232" s="4" t="str">
        <f aca="false">IF(B232="","",IFERROR(INDEX(Opportunities!$B:$B,MATCH(B232,Opportunities!$A:$A,0)),""))</f>
        <v/>
      </c>
      <c r="J232" s="3"/>
      <c r="L232" s="3"/>
      <c r="M232" s="4" t="str">
        <f aca="true">IF(OR(L232="",K232="Replied",K232="Referred",K232="Declined"),"",IF(L232&lt;TODAY(),"OVERDUE",IF(L232-TODAY()&lt;=2,"Due soon","")))</f>
        <v/>
      </c>
    </row>
    <row r="233" customFormat="false" ht="15" hidden="false" customHeight="false" outlineLevel="0" collapsed="false">
      <c r="C233" s="4" t="str">
        <f aca="false">IF(B233="","",IFERROR(INDEX(Opportunities!$B:$B,MATCH(B233,Opportunities!$A:$A,0)),""))</f>
        <v/>
      </c>
      <c r="J233" s="3"/>
      <c r="L233" s="3"/>
      <c r="M233" s="4" t="str">
        <f aca="true">IF(OR(L233="",K233="Replied",K233="Referred",K233="Declined"),"",IF(L233&lt;TODAY(),"OVERDUE",IF(L233-TODAY()&lt;=2,"Due soon","")))</f>
        <v/>
      </c>
    </row>
    <row r="234" customFormat="false" ht="15" hidden="false" customHeight="false" outlineLevel="0" collapsed="false">
      <c r="C234" s="4" t="str">
        <f aca="false">IF(B234="","",IFERROR(INDEX(Opportunities!$B:$B,MATCH(B234,Opportunities!$A:$A,0)),""))</f>
        <v/>
      </c>
      <c r="J234" s="3"/>
      <c r="L234" s="3"/>
      <c r="M234" s="4" t="str">
        <f aca="true">IF(OR(L234="",K234="Replied",K234="Referred",K234="Declined"),"",IF(L234&lt;TODAY(),"OVERDUE",IF(L234-TODAY()&lt;=2,"Due soon","")))</f>
        <v/>
      </c>
    </row>
    <row r="235" customFormat="false" ht="15" hidden="false" customHeight="false" outlineLevel="0" collapsed="false">
      <c r="C235" s="4" t="str">
        <f aca="false">IF(B235="","",IFERROR(INDEX(Opportunities!$B:$B,MATCH(B235,Opportunities!$A:$A,0)),""))</f>
        <v/>
      </c>
      <c r="J235" s="3"/>
      <c r="L235" s="3"/>
      <c r="M235" s="4" t="str">
        <f aca="true">IF(OR(L235="",K235="Replied",K235="Referred",K235="Declined"),"",IF(L235&lt;TODAY(),"OVERDUE",IF(L235-TODAY()&lt;=2,"Due soon","")))</f>
        <v/>
      </c>
    </row>
    <row r="236" customFormat="false" ht="15" hidden="false" customHeight="false" outlineLevel="0" collapsed="false">
      <c r="C236" s="4" t="str">
        <f aca="false">IF(B236="","",IFERROR(INDEX(Opportunities!$B:$B,MATCH(B236,Opportunities!$A:$A,0)),""))</f>
        <v/>
      </c>
      <c r="J236" s="3"/>
      <c r="L236" s="3"/>
      <c r="M236" s="4" t="str">
        <f aca="true">IF(OR(L236="",K236="Replied",K236="Referred",K236="Declined"),"",IF(L236&lt;TODAY(),"OVERDUE",IF(L236-TODAY()&lt;=2,"Due soon","")))</f>
        <v/>
      </c>
    </row>
    <row r="237" customFormat="false" ht="15" hidden="false" customHeight="false" outlineLevel="0" collapsed="false">
      <c r="C237" s="4" t="str">
        <f aca="false">IF(B237="","",IFERROR(INDEX(Opportunities!$B:$B,MATCH(B237,Opportunities!$A:$A,0)),""))</f>
        <v/>
      </c>
      <c r="J237" s="3"/>
      <c r="L237" s="3"/>
      <c r="M237" s="4" t="str">
        <f aca="true">IF(OR(L237="",K237="Replied",K237="Referred",K237="Declined"),"",IF(L237&lt;TODAY(),"OVERDUE",IF(L237-TODAY()&lt;=2,"Due soon","")))</f>
        <v/>
      </c>
    </row>
    <row r="238" customFormat="false" ht="15" hidden="false" customHeight="false" outlineLevel="0" collapsed="false">
      <c r="C238" s="4" t="str">
        <f aca="false">IF(B238="","",IFERROR(INDEX(Opportunities!$B:$B,MATCH(B238,Opportunities!$A:$A,0)),""))</f>
        <v/>
      </c>
      <c r="J238" s="3"/>
      <c r="L238" s="3"/>
      <c r="M238" s="4" t="str">
        <f aca="true">IF(OR(L238="",K238="Replied",K238="Referred",K238="Declined"),"",IF(L238&lt;TODAY(),"OVERDUE",IF(L238-TODAY()&lt;=2,"Due soon","")))</f>
        <v/>
      </c>
    </row>
    <row r="239" customFormat="false" ht="15" hidden="false" customHeight="false" outlineLevel="0" collapsed="false">
      <c r="C239" s="4" t="str">
        <f aca="false">IF(B239="","",IFERROR(INDEX(Opportunities!$B:$B,MATCH(B239,Opportunities!$A:$A,0)),""))</f>
        <v/>
      </c>
      <c r="J239" s="3"/>
      <c r="L239" s="3"/>
      <c r="M239" s="4" t="str">
        <f aca="true">IF(OR(L239="",K239="Replied",K239="Referred",K239="Declined"),"",IF(L239&lt;TODAY(),"OVERDUE",IF(L239-TODAY()&lt;=2,"Due soon","")))</f>
        <v/>
      </c>
    </row>
    <row r="240" customFormat="false" ht="15" hidden="false" customHeight="false" outlineLevel="0" collapsed="false">
      <c r="C240" s="4" t="str">
        <f aca="false">IF(B240="","",IFERROR(INDEX(Opportunities!$B:$B,MATCH(B240,Opportunities!$A:$A,0)),""))</f>
        <v/>
      </c>
      <c r="J240" s="3"/>
      <c r="L240" s="3"/>
      <c r="M240" s="4" t="str">
        <f aca="true">IF(OR(L240="",K240="Replied",K240="Referred",K240="Declined"),"",IF(L240&lt;TODAY(),"OVERDUE",IF(L240-TODAY()&lt;=2,"Due soon","")))</f>
        <v/>
      </c>
    </row>
    <row r="241" customFormat="false" ht="15" hidden="false" customHeight="false" outlineLevel="0" collapsed="false">
      <c r="C241" s="4" t="str">
        <f aca="false">IF(B241="","",IFERROR(INDEX(Opportunities!$B:$B,MATCH(B241,Opportunities!$A:$A,0)),""))</f>
        <v/>
      </c>
      <c r="J241" s="3"/>
      <c r="L241" s="3"/>
      <c r="M241" s="4" t="str">
        <f aca="true">IF(OR(L241="",K241="Replied",K241="Referred",K241="Declined"),"",IF(L241&lt;TODAY(),"OVERDUE",IF(L241-TODAY()&lt;=2,"Due soon","")))</f>
        <v/>
      </c>
    </row>
    <row r="242" customFormat="false" ht="15" hidden="false" customHeight="false" outlineLevel="0" collapsed="false">
      <c r="C242" s="4" t="str">
        <f aca="false">IF(B242="","",IFERROR(INDEX(Opportunities!$B:$B,MATCH(B242,Opportunities!$A:$A,0)),""))</f>
        <v/>
      </c>
      <c r="J242" s="3"/>
      <c r="L242" s="3"/>
      <c r="M242" s="4" t="str">
        <f aca="true">IF(OR(L242="",K242="Replied",K242="Referred",K242="Declined"),"",IF(L242&lt;TODAY(),"OVERDUE",IF(L242-TODAY()&lt;=2,"Due soon","")))</f>
        <v/>
      </c>
    </row>
    <row r="243" customFormat="false" ht="15" hidden="false" customHeight="false" outlineLevel="0" collapsed="false">
      <c r="C243" s="4" t="str">
        <f aca="false">IF(B243="","",IFERROR(INDEX(Opportunities!$B:$B,MATCH(B243,Opportunities!$A:$A,0)),""))</f>
        <v/>
      </c>
      <c r="J243" s="3"/>
      <c r="L243" s="3"/>
      <c r="M243" s="4" t="str">
        <f aca="true">IF(OR(L243="",K243="Replied",K243="Referred",K243="Declined"),"",IF(L243&lt;TODAY(),"OVERDUE",IF(L243-TODAY()&lt;=2,"Due soon","")))</f>
        <v/>
      </c>
    </row>
    <row r="244" customFormat="false" ht="15" hidden="false" customHeight="false" outlineLevel="0" collapsed="false">
      <c r="C244" s="4" t="str">
        <f aca="false">IF(B244="","",IFERROR(INDEX(Opportunities!$B:$B,MATCH(B244,Opportunities!$A:$A,0)),""))</f>
        <v/>
      </c>
      <c r="J244" s="3"/>
      <c r="L244" s="3"/>
      <c r="M244" s="4" t="str">
        <f aca="true">IF(OR(L244="",K244="Replied",K244="Referred",K244="Declined"),"",IF(L244&lt;TODAY(),"OVERDUE",IF(L244-TODAY()&lt;=2,"Due soon","")))</f>
        <v/>
      </c>
    </row>
    <row r="245" customFormat="false" ht="15" hidden="false" customHeight="false" outlineLevel="0" collapsed="false">
      <c r="C245" s="4" t="str">
        <f aca="false">IF(B245="","",IFERROR(INDEX(Opportunities!$B:$B,MATCH(B245,Opportunities!$A:$A,0)),""))</f>
        <v/>
      </c>
      <c r="J245" s="3"/>
      <c r="L245" s="3"/>
      <c r="M245" s="4" t="str">
        <f aca="true">IF(OR(L245="",K245="Replied",K245="Referred",K245="Declined"),"",IF(L245&lt;TODAY(),"OVERDUE",IF(L245-TODAY()&lt;=2,"Due soon","")))</f>
        <v/>
      </c>
    </row>
    <row r="246" customFormat="false" ht="15" hidden="false" customHeight="false" outlineLevel="0" collapsed="false">
      <c r="C246" s="4" t="str">
        <f aca="false">IF(B246="","",IFERROR(INDEX(Opportunities!$B:$B,MATCH(B246,Opportunities!$A:$A,0)),""))</f>
        <v/>
      </c>
      <c r="J246" s="3"/>
      <c r="L246" s="3"/>
      <c r="M246" s="4" t="str">
        <f aca="true">IF(OR(L246="",K246="Replied",K246="Referred",K246="Declined"),"",IF(L246&lt;TODAY(),"OVERDUE",IF(L246-TODAY()&lt;=2,"Due soon","")))</f>
        <v/>
      </c>
    </row>
    <row r="247" customFormat="false" ht="15" hidden="false" customHeight="false" outlineLevel="0" collapsed="false">
      <c r="C247" s="4" t="str">
        <f aca="false">IF(B247="","",IFERROR(INDEX(Opportunities!$B:$B,MATCH(B247,Opportunities!$A:$A,0)),""))</f>
        <v/>
      </c>
      <c r="J247" s="3"/>
      <c r="L247" s="3"/>
      <c r="M247" s="4" t="str">
        <f aca="true">IF(OR(L247="",K247="Replied",K247="Referred",K247="Declined"),"",IF(L247&lt;TODAY(),"OVERDUE",IF(L247-TODAY()&lt;=2,"Due soon","")))</f>
        <v/>
      </c>
    </row>
    <row r="248" customFormat="false" ht="15" hidden="false" customHeight="false" outlineLevel="0" collapsed="false">
      <c r="C248" s="4" t="str">
        <f aca="false">IF(B248="","",IFERROR(INDEX(Opportunities!$B:$B,MATCH(B248,Opportunities!$A:$A,0)),""))</f>
        <v/>
      </c>
      <c r="J248" s="3"/>
      <c r="L248" s="3"/>
      <c r="M248" s="4" t="str">
        <f aca="true">IF(OR(L248="",K248="Replied",K248="Referred",K248="Declined"),"",IF(L248&lt;TODAY(),"OVERDUE",IF(L248-TODAY()&lt;=2,"Due soon","")))</f>
        <v/>
      </c>
    </row>
    <row r="249" customFormat="false" ht="15" hidden="false" customHeight="false" outlineLevel="0" collapsed="false">
      <c r="C249" s="4" t="str">
        <f aca="false">IF(B249="","",IFERROR(INDEX(Opportunities!$B:$B,MATCH(B249,Opportunities!$A:$A,0)),""))</f>
        <v/>
      </c>
      <c r="J249" s="3"/>
      <c r="L249" s="3"/>
      <c r="M249" s="4" t="str">
        <f aca="true">IF(OR(L249="",K249="Replied",K249="Referred",K249="Declined"),"",IF(L249&lt;TODAY(),"OVERDUE",IF(L249-TODAY()&lt;=2,"Due soon","")))</f>
        <v/>
      </c>
    </row>
    <row r="250" customFormat="false" ht="15" hidden="false" customHeight="false" outlineLevel="0" collapsed="false">
      <c r="C250" s="4" t="str">
        <f aca="false">IF(B250="","",IFERROR(INDEX(Opportunities!$B:$B,MATCH(B250,Opportunities!$A:$A,0)),""))</f>
        <v/>
      </c>
      <c r="J250" s="3"/>
      <c r="L250" s="3"/>
      <c r="M250" s="4" t="str">
        <f aca="true">IF(OR(L250="",K250="Replied",K250="Referred",K250="Declined"),"",IF(L250&lt;TODAY(),"OVERDUE",IF(L250-TODAY()&lt;=2,"Due soon","")))</f>
        <v/>
      </c>
    </row>
    <row r="251" customFormat="false" ht="15" hidden="false" customHeight="false" outlineLevel="0" collapsed="false">
      <c r="C251" s="4" t="str">
        <f aca="false">IF(B251="","",IFERROR(INDEX(Opportunities!$B:$B,MATCH(B251,Opportunities!$A:$A,0)),""))</f>
        <v/>
      </c>
      <c r="J251" s="3"/>
      <c r="L251" s="3"/>
      <c r="M251" s="4" t="str">
        <f aca="true">IF(OR(L251="",K251="Replied",K251="Referred",K251="Declined"),"",IF(L251&lt;TODAY(),"OVERDUE",IF(L251-TODAY()&lt;=2,"Due soon","")))</f>
        <v/>
      </c>
    </row>
    <row r="252" customFormat="false" ht="15" hidden="false" customHeight="false" outlineLevel="0" collapsed="false">
      <c r="C252" s="4" t="str">
        <f aca="false">IF(B252="","",IFERROR(INDEX(Opportunities!$B:$B,MATCH(B252,Opportunities!$A:$A,0)),""))</f>
        <v/>
      </c>
      <c r="J252" s="3"/>
      <c r="L252" s="3"/>
      <c r="M252" s="4" t="str">
        <f aca="true">IF(OR(L252="",K252="Replied",K252="Referred",K252="Declined"),"",IF(L252&lt;TODAY(),"OVERDUE",IF(L252-TODAY()&lt;=2,"Due soon","")))</f>
        <v/>
      </c>
    </row>
    <row r="253" customFormat="false" ht="15" hidden="false" customHeight="false" outlineLevel="0" collapsed="false">
      <c r="C253" s="4" t="str">
        <f aca="false">IF(B253="","",IFERROR(INDEX(Opportunities!$B:$B,MATCH(B253,Opportunities!$A:$A,0)),""))</f>
        <v/>
      </c>
      <c r="J253" s="3"/>
      <c r="L253" s="3"/>
      <c r="M253" s="4" t="str">
        <f aca="true">IF(OR(L253="",K253="Replied",K253="Referred",K253="Declined"),"",IF(L253&lt;TODAY(),"OVERDUE",IF(L253-TODAY()&lt;=2,"Due soon","")))</f>
        <v/>
      </c>
    </row>
    <row r="254" customFormat="false" ht="15" hidden="false" customHeight="false" outlineLevel="0" collapsed="false">
      <c r="C254" s="4" t="str">
        <f aca="false">IF(B254="","",IFERROR(INDEX(Opportunities!$B:$B,MATCH(B254,Opportunities!$A:$A,0)),""))</f>
        <v/>
      </c>
      <c r="J254" s="3"/>
      <c r="L254" s="3"/>
      <c r="M254" s="4" t="str">
        <f aca="true">IF(OR(L254="",K254="Replied",K254="Referred",K254="Declined"),"",IF(L254&lt;TODAY(),"OVERDUE",IF(L254-TODAY()&lt;=2,"Due soon","")))</f>
        <v/>
      </c>
    </row>
    <row r="255" customFormat="false" ht="15" hidden="false" customHeight="false" outlineLevel="0" collapsed="false">
      <c r="C255" s="4" t="str">
        <f aca="false">IF(B255="","",IFERROR(INDEX(Opportunities!$B:$B,MATCH(B255,Opportunities!$A:$A,0)),""))</f>
        <v/>
      </c>
      <c r="J255" s="3"/>
      <c r="L255" s="3"/>
      <c r="M255" s="4" t="str">
        <f aca="true">IF(OR(L255="",K255="Replied",K255="Referred",K255="Declined"),"",IF(L255&lt;TODAY(),"OVERDUE",IF(L255-TODAY()&lt;=2,"Due soon","")))</f>
        <v/>
      </c>
    </row>
    <row r="256" customFormat="false" ht="15" hidden="false" customHeight="false" outlineLevel="0" collapsed="false">
      <c r="C256" s="4" t="str">
        <f aca="false">IF(B256="","",IFERROR(INDEX(Opportunities!$B:$B,MATCH(B256,Opportunities!$A:$A,0)),""))</f>
        <v/>
      </c>
      <c r="J256" s="3"/>
      <c r="L256" s="3"/>
      <c r="M256" s="4" t="str">
        <f aca="true">IF(OR(L256="",K256="Replied",K256="Referred",K256="Declined"),"",IF(L256&lt;TODAY(),"OVERDUE",IF(L256-TODAY()&lt;=2,"Due soon","")))</f>
        <v/>
      </c>
    </row>
    <row r="257" customFormat="false" ht="15" hidden="false" customHeight="false" outlineLevel="0" collapsed="false">
      <c r="C257" s="4" t="str">
        <f aca="false">IF(B257="","",IFERROR(INDEX(Opportunities!$B:$B,MATCH(B257,Opportunities!$A:$A,0)),""))</f>
        <v/>
      </c>
      <c r="J257" s="3"/>
      <c r="L257" s="3"/>
      <c r="M257" s="4" t="str">
        <f aca="true">IF(OR(L257="",K257="Replied",K257="Referred",K257="Declined"),"",IF(L257&lt;TODAY(),"OVERDUE",IF(L257-TODAY()&lt;=2,"Due soon","")))</f>
        <v/>
      </c>
    </row>
    <row r="258" customFormat="false" ht="15" hidden="false" customHeight="false" outlineLevel="0" collapsed="false">
      <c r="C258" s="4" t="str">
        <f aca="false">IF(B258="","",IFERROR(INDEX(Opportunities!$B:$B,MATCH(B258,Opportunities!$A:$A,0)),""))</f>
        <v/>
      </c>
      <c r="J258" s="3"/>
      <c r="L258" s="3"/>
      <c r="M258" s="4" t="str">
        <f aca="true">IF(OR(L258="",K258="Replied",K258="Referred",K258="Declined"),"",IF(L258&lt;TODAY(),"OVERDUE",IF(L258-TODAY()&lt;=2,"Due soon","")))</f>
        <v/>
      </c>
    </row>
    <row r="259" customFormat="false" ht="15" hidden="false" customHeight="false" outlineLevel="0" collapsed="false">
      <c r="C259" s="4" t="str">
        <f aca="false">IF(B259="","",IFERROR(INDEX(Opportunities!$B:$B,MATCH(B259,Opportunities!$A:$A,0)),""))</f>
        <v/>
      </c>
      <c r="J259" s="3"/>
      <c r="L259" s="3"/>
      <c r="M259" s="4" t="str">
        <f aca="true">IF(OR(L259="",K259="Replied",K259="Referred",K259="Declined"),"",IF(L259&lt;TODAY(),"OVERDUE",IF(L259-TODAY()&lt;=2,"Due soon","")))</f>
        <v/>
      </c>
    </row>
    <row r="260" customFormat="false" ht="15" hidden="false" customHeight="false" outlineLevel="0" collapsed="false">
      <c r="C260" s="4" t="str">
        <f aca="false">IF(B260="","",IFERROR(INDEX(Opportunities!$B:$B,MATCH(B260,Opportunities!$A:$A,0)),""))</f>
        <v/>
      </c>
      <c r="J260" s="3"/>
      <c r="L260" s="3"/>
      <c r="M260" s="4" t="str">
        <f aca="true">IF(OR(L260="",K260="Replied",K260="Referred",K260="Declined"),"",IF(L260&lt;TODAY(),"OVERDUE",IF(L260-TODAY()&lt;=2,"Due soon","")))</f>
        <v/>
      </c>
    </row>
    <row r="261" customFormat="false" ht="15" hidden="false" customHeight="false" outlineLevel="0" collapsed="false">
      <c r="C261" s="4" t="str">
        <f aca="false">IF(B261="","",IFERROR(INDEX(Opportunities!$B:$B,MATCH(B261,Opportunities!$A:$A,0)),""))</f>
        <v/>
      </c>
      <c r="J261" s="3"/>
      <c r="L261" s="3"/>
      <c r="M261" s="4" t="str">
        <f aca="true">IF(OR(L261="",K261="Replied",K261="Referred",K261="Declined"),"",IF(L261&lt;TODAY(),"OVERDUE",IF(L261-TODAY()&lt;=2,"Due soon","")))</f>
        <v/>
      </c>
    </row>
    <row r="262" customFormat="false" ht="15" hidden="false" customHeight="false" outlineLevel="0" collapsed="false">
      <c r="C262" s="4" t="str">
        <f aca="false">IF(B262="","",IFERROR(INDEX(Opportunities!$B:$B,MATCH(B262,Opportunities!$A:$A,0)),""))</f>
        <v/>
      </c>
      <c r="J262" s="3"/>
      <c r="L262" s="3"/>
      <c r="M262" s="4" t="str">
        <f aca="true">IF(OR(L262="",K262="Replied",K262="Referred",K262="Declined"),"",IF(L262&lt;TODAY(),"OVERDUE",IF(L262-TODAY()&lt;=2,"Due soon","")))</f>
        <v/>
      </c>
    </row>
    <row r="263" customFormat="false" ht="15" hidden="false" customHeight="false" outlineLevel="0" collapsed="false">
      <c r="C263" s="4" t="str">
        <f aca="false">IF(B263="","",IFERROR(INDEX(Opportunities!$B:$B,MATCH(B263,Opportunities!$A:$A,0)),""))</f>
        <v/>
      </c>
      <c r="J263" s="3"/>
      <c r="L263" s="3"/>
      <c r="M263" s="4" t="str">
        <f aca="true">IF(OR(L263="",K263="Replied",K263="Referred",K263="Declined"),"",IF(L263&lt;TODAY(),"OVERDUE",IF(L263-TODAY()&lt;=2,"Due soon","")))</f>
        <v/>
      </c>
    </row>
    <row r="264" customFormat="false" ht="15" hidden="false" customHeight="false" outlineLevel="0" collapsed="false">
      <c r="C264" s="4" t="str">
        <f aca="false">IF(B264="","",IFERROR(INDEX(Opportunities!$B:$B,MATCH(B264,Opportunities!$A:$A,0)),""))</f>
        <v/>
      </c>
      <c r="J264" s="3"/>
      <c r="L264" s="3"/>
      <c r="M264" s="4" t="str">
        <f aca="true">IF(OR(L264="",K264="Replied",K264="Referred",K264="Declined"),"",IF(L264&lt;TODAY(),"OVERDUE",IF(L264-TODAY()&lt;=2,"Due soon","")))</f>
        <v/>
      </c>
    </row>
    <row r="265" customFormat="false" ht="15" hidden="false" customHeight="false" outlineLevel="0" collapsed="false">
      <c r="C265" s="4" t="str">
        <f aca="false">IF(B265="","",IFERROR(INDEX(Opportunities!$B:$B,MATCH(B265,Opportunities!$A:$A,0)),""))</f>
        <v/>
      </c>
      <c r="J265" s="3"/>
      <c r="L265" s="3"/>
      <c r="M265" s="4" t="str">
        <f aca="true">IF(OR(L265="",K265="Replied",K265="Referred",K265="Declined"),"",IF(L265&lt;TODAY(),"OVERDUE",IF(L265-TODAY()&lt;=2,"Due soon","")))</f>
        <v/>
      </c>
    </row>
    <row r="266" customFormat="false" ht="15" hidden="false" customHeight="false" outlineLevel="0" collapsed="false">
      <c r="C266" s="4" t="str">
        <f aca="false">IF(B266="","",IFERROR(INDEX(Opportunities!$B:$B,MATCH(B266,Opportunities!$A:$A,0)),""))</f>
        <v/>
      </c>
      <c r="J266" s="3"/>
      <c r="L266" s="3"/>
      <c r="M266" s="4" t="str">
        <f aca="true">IF(OR(L266="",K266="Replied",K266="Referred",K266="Declined"),"",IF(L266&lt;TODAY(),"OVERDUE",IF(L266-TODAY()&lt;=2,"Due soon","")))</f>
        <v/>
      </c>
    </row>
    <row r="267" customFormat="false" ht="15" hidden="false" customHeight="false" outlineLevel="0" collapsed="false">
      <c r="C267" s="4" t="str">
        <f aca="false">IF(B267="","",IFERROR(INDEX(Opportunities!$B:$B,MATCH(B267,Opportunities!$A:$A,0)),""))</f>
        <v/>
      </c>
      <c r="J267" s="3"/>
      <c r="L267" s="3"/>
      <c r="M267" s="4" t="str">
        <f aca="true">IF(OR(L267="",K267="Replied",K267="Referred",K267="Declined"),"",IF(L267&lt;TODAY(),"OVERDUE",IF(L267-TODAY()&lt;=2,"Due soon","")))</f>
        <v/>
      </c>
    </row>
    <row r="268" customFormat="false" ht="15" hidden="false" customHeight="false" outlineLevel="0" collapsed="false">
      <c r="C268" s="4" t="str">
        <f aca="false">IF(B268="","",IFERROR(INDEX(Opportunities!$B:$B,MATCH(B268,Opportunities!$A:$A,0)),""))</f>
        <v/>
      </c>
      <c r="J268" s="3"/>
      <c r="L268" s="3"/>
      <c r="M268" s="4" t="str">
        <f aca="true">IF(OR(L268="",K268="Replied",K268="Referred",K268="Declined"),"",IF(L268&lt;TODAY(),"OVERDUE",IF(L268-TODAY()&lt;=2,"Due soon","")))</f>
        <v/>
      </c>
    </row>
    <row r="269" customFormat="false" ht="15" hidden="false" customHeight="false" outlineLevel="0" collapsed="false">
      <c r="C269" s="4" t="str">
        <f aca="false">IF(B269="","",IFERROR(INDEX(Opportunities!$B:$B,MATCH(B269,Opportunities!$A:$A,0)),""))</f>
        <v/>
      </c>
      <c r="J269" s="3"/>
      <c r="L269" s="3"/>
      <c r="M269" s="4" t="str">
        <f aca="true">IF(OR(L269="",K269="Replied",K269="Referred",K269="Declined"),"",IF(L269&lt;TODAY(),"OVERDUE",IF(L269-TODAY()&lt;=2,"Due soon","")))</f>
        <v/>
      </c>
    </row>
    <row r="270" customFormat="false" ht="15" hidden="false" customHeight="false" outlineLevel="0" collapsed="false">
      <c r="C270" s="4" t="str">
        <f aca="false">IF(B270="","",IFERROR(INDEX(Opportunities!$B:$B,MATCH(B270,Opportunities!$A:$A,0)),""))</f>
        <v/>
      </c>
      <c r="J270" s="3"/>
      <c r="L270" s="3"/>
      <c r="M270" s="4" t="str">
        <f aca="true">IF(OR(L270="",K270="Replied",K270="Referred",K270="Declined"),"",IF(L270&lt;TODAY(),"OVERDUE",IF(L270-TODAY()&lt;=2,"Due soon","")))</f>
        <v/>
      </c>
    </row>
    <row r="271" customFormat="false" ht="15" hidden="false" customHeight="false" outlineLevel="0" collapsed="false">
      <c r="C271" s="4" t="str">
        <f aca="false">IF(B271="","",IFERROR(INDEX(Opportunities!$B:$B,MATCH(B271,Opportunities!$A:$A,0)),""))</f>
        <v/>
      </c>
      <c r="J271" s="3"/>
      <c r="L271" s="3"/>
      <c r="M271" s="4" t="str">
        <f aca="true">IF(OR(L271="",K271="Replied",K271="Referred",K271="Declined"),"",IF(L271&lt;TODAY(),"OVERDUE",IF(L271-TODAY()&lt;=2,"Due soon","")))</f>
        <v/>
      </c>
    </row>
    <row r="272" customFormat="false" ht="15" hidden="false" customHeight="false" outlineLevel="0" collapsed="false">
      <c r="C272" s="4" t="str">
        <f aca="false">IF(B272="","",IFERROR(INDEX(Opportunities!$B:$B,MATCH(B272,Opportunities!$A:$A,0)),""))</f>
        <v/>
      </c>
      <c r="J272" s="3"/>
      <c r="L272" s="3"/>
      <c r="M272" s="4" t="str">
        <f aca="true">IF(OR(L272="",K272="Replied",K272="Referred",K272="Declined"),"",IF(L272&lt;TODAY(),"OVERDUE",IF(L272-TODAY()&lt;=2,"Due soon","")))</f>
        <v/>
      </c>
    </row>
    <row r="273" customFormat="false" ht="15" hidden="false" customHeight="false" outlineLevel="0" collapsed="false">
      <c r="C273" s="4" t="str">
        <f aca="false">IF(B273="","",IFERROR(INDEX(Opportunities!$B:$B,MATCH(B273,Opportunities!$A:$A,0)),""))</f>
        <v/>
      </c>
      <c r="J273" s="3"/>
      <c r="L273" s="3"/>
      <c r="M273" s="4" t="str">
        <f aca="true">IF(OR(L273="",K273="Replied",K273="Referred",K273="Declined"),"",IF(L273&lt;TODAY(),"OVERDUE",IF(L273-TODAY()&lt;=2,"Due soon","")))</f>
        <v/>
      </c>
    </row>
    <row r="274" customFormat="false" ht="15" hidden="false" customHeight="false" outlineLevel="0" collapsed="false">
      <c r="C274" s="4" t="str">
        <f aca="false">IF(B274="","",IFERROR(INDEX(Opportunities!$B:$B,MATCH(B274,Opportunities!$A:$A,0)),""))</f>
        <v/>
      </c>
      <c r="J274" s="3"/>
      <c r="L274" s="3"/>
      <c r="M274" s="4" t="str">
        <f aca="true">IF(OR(L274="",K274="Replied",K274="Referred",K274="Declined"),"",IF(L274&lt;TODAY(),"OVERDUE",IF(L274-TODAY()&lt;=2,"Due soon","")))</f>
        <v/>
      </c>
    </row>
    <row r="275" customFormat="false" ht="15" hidden="false" customHeight="false" outlineLevel="0" collapsed="false">
      <c r="C275" s="4" t="str">
        <f aca="false">IF(B275="","",IFERROR(INDEX(Opportunities!$B:$B,MATCH(B275,Opportunities!$A:$A,0)),""))</f>
        <v/>
      </c>
      <c r="J275" s="3"/>
      <c r="L275" s="3"/>
      <c r="M275" s="4" t="str">
        <f aca="true">IF(OR(L275="",K275="Replied",K275="Referred",K275="Declined"),"",IF(L275&lt;TODAY(),"OVERDUE",IF(L275-TODAY()&lt;=2,"Due soon","")))</f>
        <v/>
      </c>
    </row>
    <row r="276" customFormat="false" ht="15" hidden="false" customHeight="false" outlineLevel="0" collapsed="false">
      <c r="C276" s="4" t="str">
        <f aca="false">IF(B276="","",IFERROR(INDEX(Opportunities!$B:$B,MATCH(B276,Opportunities!$A:$A,0)),""))</f>
        <v/>
      </c>
      <c r="J276" s="3"/>
      <c r="L276" s="3"/>
      <c r="M276" s="4" t="str">
        <f aca="true">IF(OR(L276="",K276="Replied",K276="Referred",K276="Declined"),"",IF(L276&lt;TODAY(),"OVERDUE",IF(L276-TODAY()&lt;=2,"Due soon","")))</f>
        <v/>
      </c>
    </row>
    <row r="277" customFormat="false" ht="15" hidden="false" customHeight="false" outlineLevel="0" collapsed="false">
      <c r="C277" s="4" t="str">
        <f aca="false">IF(B277="","",IFERROR(INDEX(Opportunities!$B:$B,MATCH(B277,Opportunities!$A:$A,0)),""))</f>
        <v/>
      </c>
      <c r="J277" s="3"/>
      <c r="L277" s="3"/>
      <c r="M277" s="4" t="str">
        <f aca="true">IF(OR(L277="",K277="Replied",K277="Referred",K277="Declined"),"",IF(L277&lt;TODAY(),"OVERDUE",IF(L277-TODAY()&lt;=2,"Due soon","")))</f>
        <v/>
      </c>
    </row>
    <row r="278" customFormat="false" ht="15" hidden="false" customHeight="false" outlineLevel="0" collapsed="false">
      <c r="C278" s="4" t="str">
        <f aca="false">IF(B278="","",IFERROR(INDEX(Opportunities!$B:$B,MATCH(B278,Opportunities!$A:$A,0)),""))</f>
        <v/>
      </c>
      <c r="J278" s="3"/>
      <c r="L278" s="3"/>
      <c r="M278" s="4" t="str">
        <f aca="true">IF(OR(L278="",K278="Replied",K278="Referred",K278="Declined"),"",IF(L278&lt;TODAY(),"OVERDUE",IF(L278-TODAY()&lt;=2,"Due soon","")))</f>
        <v/>
      </c>
    </row>
    <row r="279" customFormat="false" ht="15" hidden="false" customHeight="false" outlineLevel="0" collapsed="false">
      <c r="C279" s="4" t="str">
        <f aca="false">IF(B279="","",IFERROR(INDEX(Opportunities!$B:$B,MATCH(B279,Opportunities!$A:$A,0)),""))</f>
        <v/>
      </c>
      <c r="J279" s="3"/>
      <c r="L279" s="3"/>
      <c r="M279" s="4" t="str">
        <f aca="true">IF(OR(L279="",K279="Replied",K279="Referred",K279="Declined"),"",IF(L279&lt;TODAY(),"OVERDUE",IF(L279-TODAY()&lt;=2,"Due soon","")))</f>
        <v/>
      </c>
    </row>
    <row r="280" customFormat="false" ht="15" hidden="false" customHeight="false" outlineLevel="0" collapsed="false">
      <c r="C280" s="4" t="str">
        <f aca="false">IF(B280="","",IFERROR(INDEX(Opportunities!$B:$B,MATCH(B280,Opportunities!$A:$A,0)),""))</f>
        <v/>
      </c>
      <c r="J280" s="3"/>
      <c r="L280" s="3"/>
      <c r="M280" s="4" t="str">
        <f aca="true">IF(OR(L280="",K280="Replied",K280="Referred",K280="Declined"),"",IF(L280&lt;TODAY(),"OVERDUE",IF(L280-TODAY()&lt;=2,"Due soon","")))</f>
        <v/>
      </c>
    </row>
    <row r="281" customFormat="false" ht="15" hidden="false" customHeight="false" outlineLevel="0" collapsed="false">
      <c r="C281" s="4" t="str">
        <f aca="false">IF(B281="","",IFERROR(INDEX(Opportunities!$B:$B,MATCH(B281,Opportunities!$A:$A,0)),""))</f>
        <v/>
      </c>
      <c r="J281" s="3"/>
      <c r="L281" s="3"/>
      <c r="M281" s="4" t="str">
        <f aca="true">IF(OR(L281="",K281="Replied",K281="Referred",K281="Declined"),"",IF(L281&lt;TODAY(),"OVERDUE",IF(L281-TODAY()&lt;=2,"Due soon","")))</f>
        <v/>
      </c>
    </row>
    <row r="282" customFormat="false" ht="15" hidden="false" customHeight="false" outlineLevel="0" collapsed="false">
      <c r="C282" s="4" t="str">
        <f aca="false">IF(B282="","",IFERROR(INDEX(Opportunities!$B:$B,MATCH(B282,Opportunities!$A:$A,0)),""))</f>
        <v/>
      </c>
      <c r="J282" s="3"/>
      <c r="L282" s="3"/>
      <c r="M282" s="4" t="str">
        <f aca="true">IF(OR(L282="",K282="Replied",K282="Referred",K282="Declined"),"",IF(L282&lt;TODAY(),"OVERDUE",IF(L282-TODAY()&lt;=2,"Due soon","")))</f>
        <v/>
      </c>
    </row>
    <row r="283" customFormat="false" ht="15" hidden="false" customHeight="false" outlineLevel="0" collapsed="false">
      <c r="C283" s="4" t="str">
        <f aca="false">IF(B283="","",IFERROR(INDEX(Opportunities!$B:$B,MATCH(B283,Opportunities!$A:$A,0)),""))</f>
        <v/>
      </c>
      <c r="J283" s="3"/>
      <c r="L283" s="3"/>
      <c r="M283" s="4" t="str">
        <f aca="true">IF(OR(L283="",K283="Replied",K283="Referred",K283="Declined"),"",IF(L283&lt;TODAY(),"OVERDUE",IF(L283-TODAY()&lt;=2,"Due soon","")))</f>
        <v/>
      </c>
    </row>
    <row r="284" customFormat="false" ht="15" hidden="false" customHeight="false" outlineLevel="0" collapsed="false">
      <c r="C284" s="4" t="str">
        <f aca="false">IF(B284="","",IFERROR(INDEX(Opportunities!$B:$B,MATCH(B284,Opportunities!$A:$A,0)),""))</f>
        <v/>
      </c>
      <c r="J284" s="3"/>
      <c r="L284" s="3"/>
      <c r="M284" s="4" t="str">
        <f aca="true">IF(OR(L284="",K284="Replied",K284="Referred",K284="Declined"),"",IF(L284&lt;TODAY(),"OVERDUE",IF(L284-TODAY()&lt;=2,"Due soon","")))</f>
        <v/>
      </c>
    </row>
    <row r="285" customFormat="false" ht="15" hidden="false" customHeight="false" outlineLevel="0" collapsed="false">
      <c r="C285" s="4" t="str">
        <f aca="false">IF(B285="","",IFERROR(INDEX(Opportunities!$B:$B,MATCH(B285,Opportunities!$A:$A,0)),""))</f>
        <v/>
      </c>
      <c r="J285" s="3"/>
      <c r="L285" s="3"/>
      <c r="M285" s="4" t="str">
        <f aca="true">IF(OR(L285="",K285="Replied",K285="Referred",K285="Declined"),"",IF(L285&lt;TODAY(),"OVERDUE",IF(L285-TODAY()&lt;=2,"Due soon","")))</f>
        <v/>
      </c>
    </row>
    <row r="286" customFormat="false" ht="15" hidden="false" customHeight="false" outlineLevel="0" collapsed="false">
      <c r="C286" s="4" t="str">
        <f aca="false">IF(B286="","",IFERROR(INDEX(Opportunities!$B:$B,MATCH(B286,Opportunities!$A:$A,0)),""))</f>
        <v/>
      </c>
      <c r="J286" s="3"/>
      <c r="L286" s="3"/>
      <c r="M286" s="4" t="str">
        <f aca="true">IF(OR(L286="",K286="Replied",K286="Referred",K286="Declined"),"",IF(L286&lt;TODAY(),"OVERDUE",IF(L286-TODAY()&lt;=2,"Due soon","")))</f>
        <v/>
      </c>
    </row>
    <row r="287" customFormat="false" ht="15" hidden="false" customHeight="false" outlineLevel="0" collapsed="false">
      <c r="C287" s="4" t="str">
        <f aca="false">IF(B287="","",IFERROR(INDEX(Opportunities!$B:$B,MATCH(B287,Opportunities!$A:$A,0)),""))</f>
        <v/>
      </c>
      <c r="J287" s="3"/>
      <c r="L287" s="3"/>
      <c r="M287" s="4" t="str">
        <f aca="true">IF(OR(L287="",K287="Replied",K287="Referred",K287="Declined"),"",IF(L287&lt;TODAY(),"OVERDUE",IF(L287-TODAY()&lt;=2,"Due soon","")))</f>
        <v/>
      </c>
    </row>
    <row r="288" customFormat="false" ht="15" hidden="false" customHeight="false" outlineLevel="0" collapsed="false">
      <c r="C288" s="4" t="str">
        <f aca="false">IF(B288="","",IFERROR(INDEX(Opportunities!$B:$B,MATCH(B288,Opportunities!$A:$A,0)),""))</f>
        <v/>
      </c>
      <c r="J288" s="3"/>
      <c r="L288" s="3"/>
      <c r="M288" s="4" t="str">
        <f aca="true">IF(OR(L288="",K288="Replied",K288="Referred",K288="Declined"),"",IF(L288&lt;TODAY(),"OVERDUE",IF(L288-TODAY()&lt;=2,"Due soon","")))</f>
        <v/>
      </c>
    </row>
    <row r="289" customFormat="false" ht="15" hidden="false" customHeight="false" outlineLevel="0" collapsed="false">
      <c r="C289" s="4" t="str">
        <f aca="false">IF(B289="","",IFERROR(INDEX(Opportunities!$B:$B,MATCH(B289,Opportunities!$A:$A,0)),""))</f>
        <v/>
      </c>
      <c r="J289" s="3"/>
      <c r="L289" s="3"/>
      <c r="M289" s="4" t="str">
        <f aca="true">IF(OR(L289="",K289="Replied",K289="Referred",K289="Declined"),"",IF(L289&lt;TODAY(),"OVERDUE",IF(L289-TODAY()&lt;=2,"Due soon","")))</f>
        <v/>
      </c>
    </row>
    <row r="290" customFormat="false" ht="15" hidden="false" customHeight="false" outlineLevel="0" collapsed="false">
      <c r="C290" s="4" t="str">
        <f aca="false">IF(B290="","",IFERROR(INDEX(Opportunities!$B:$B,MATCH(B290,Opportunities!$A:$A,0)),""))</f>
        <v/>
      </c>
      <c r="J290" s="3"/>
      <c r="L290" s="3"/>
      <c r="M290" s="4" t="str">
        <f aca="true">IF(OR(L290="",K290="Replied",K290="Referred",K290="Declined"),"",IF(L290&lt;TODAY(),"OVERDUE",IF(L290-TODAY()&lt;=2,"Due soon","")))</f>
        <v/>
      </c>
    </row>
    <row r="291" customFormat="false" ht="15" hidden="false" customHeight="false" outlineLevel="0" collapsed="false">
      <c r="C291" s="4" t="str">
        <f aca="false">IF(B291="","",IFERROR(INDEX(Opportunities!$B:$B,MATCH(B291,Opportunities!$A:$A,0)),""))</f>
        <v/>
      </c>
      <c r="J291" s="3"/>
      <c r="L291" s="3"/>
      <c r="M291" s="4" t="str">
        <f aca="true">IF(OR(L291="",K291="Replied",K291="Referred",K291="Declined"),"",IF(L291&lt;TODAY(),"OVERDUE",IF(L291-TODAY()&lt;=2,"Due soon","")))</f>
        <v/>
      </c>
    </row>
    <row r="292" customFormat="false" ht="15" hidden="false" customHeight="false" outlineLevel="0" collapsed="false">
      <c r="C292" s="4" t="str">
        <f aca="false">IF(B292="","",IFERROR(INDEX(Opportunities!$B:$B,MATCH(B292,Opportunities!$A:$A,0)),""))</f>
        <v/>
      </c>
      <c r="J292" s="3"/>
      <c r="L292" s="3"/>
      <c r="M292" s="4" t="str">
        <f aca="true">IF(OR(L292="",K292="Replied",K292="Referred",K292="Declined"),"",IF(L292&lt;TODAY(),"OVERDUE",IF(L292-TODAY()&lt;=2,"Due soon","")))</f>
        <v/>
      </c>
    </row>
    <row r="293" customFormat="false" ht="15" hidden="false" customHeight="false" outlineLevel="0" collapsed="false">
      <c r="C293" s="4" t="str">
        <f aca="false">IF(B293="","",IFERROR(INDEX(Opportunities!$B:$B,MATCH(B293,Opportunities!$A:$A,0)),""))</f>
        <v/>
      </c>
      <c r="J293" s="3"/>
      <c r="L293" s="3"/>
      <c r="M293" s="4" t="str">
        <f aca="true">IF(OR(L293="",K293="Replied",K293="Referred",K293="Declined"),"",IF(L293&lt;TODAY(),"OVERDUE",IF(L293-TODAY()&lt;=2,"Due soon","")))</f>
        <v/>
      </c>
    </row>
    <row r="294" customFormat="false" ht="15" hidden="false" customHeight="false" outlineLevel="0" collapsed="false">
      <c r="C294" s="4" t="str">
        <f aca="false">IF(B294="","",IFERROR(INDEX(Opportunities!$B:$B,MATCH(B294,Opportunities!$A:$A,0)),""))</f>
        <v/>
      </c>
      <c r="J294" s="3"/>
      <c r="L294" s="3"/>
      <c r="M294" s="4" t="str">
        <f aca="true">IF(OR(L294="",K294="Replied",K294="Referred",K294="Declined"),"",IF(L294&lt;TODAY(),"OVERDUE",IF(L294-TODAY()&lt;=2,"Due soon","")))</f>
        <v/>
      </c>
    </row>
    <row r="295" customFormat="false" ht="15" hidden="false" customHeight="false" outlineLevel="0" collapsed="false">
      <c r="C295" s="4" t="str">
        <f aca="false">IF(B295="","",IFERROR(INDEX(Opportunities!$B:$B,MATCH(B295,Opportunities!$A:$A,0)),""))</f>
        <v/>
      </c>
      <c r="J295" s="3"/>
      <c r="L295" s="3"/>
      <c r="M295" s="4" t="str">
        <f aca="true">IF(OR(L295="",K295="Replied",K295="Referred",K295="Declined"),"",IF(L295&lt;TODAY(),"OVERDUE",IF(L295-TODAY()&lt;=2,"Due soon","")))</f>
        <v/>
      </c>
    </row>
    <row r="296" customFormat="false" ht="15" hidden="false" customHeight="false" outlineLevel="0" collapsed="false">
      <c r="C296" s="4" t="str">
        <f aca="false">IF(B296="","",IFERROR(INDEX(Opportunities!$B:$B,MATCH(B296,Opportunities!$A:$A,0)),""))</f>
        <v/>
      </c>
      <c r="J296" s="3"/>
      <c r="L296" s="3"/>
      <c r="M296" s="4" t="str">
        <f aca="true">IF(OR(L296="",K296="Replied",K296="Referred",K296="Declined"),"",IF(L296&lt;TODAY(),"OVERDUE",IF(L296-TODAY()&lt;=2,"Due soon","")))</f>
        <v/>
      </c>
    </row>
    <row r="297" customFormat="false" ht="15" hidden="false" customHeight="false" outlineLevel="0" collapsed="false">
      <c r="C297" s="4" t="str">
        <f aca="false">IF(B297="","",IFERROR(INDEX(Opportunities!$B:$B,MATCH(B297,Opportunities!$A:$A,0)),""))</f>
        <v/>
      </c>
      <c r="J297" s="3"/>
      <c r="L297" s="3"/>
      <c r="M297" s="4" t="str">
        <f aca="true">IF(OR(L297="",K297="Replied",K297="Referred",K297="Declined"),"",IF(L297&lt;TODAY(),"OVERDUE",IF(L297-TODAY()&lt;=2,"Due soon","")))</f>
        <v/>
      </c>
    </row>
    <row r="298" customFormat="false" ht="15" hidden="false" customHeight="false" outlineLevel="0" collapsed="false">
      <c r="C298" s="4" t="str">
        <f aca="false">IF(B298="","",IFERROR(INDEX(Opportunities!$B:$B,MATCH(B298,Opportunities!$A:$A,0)),""))</f>
        <v/>
      </c>
      <c r="J298" s="3"/>
      <c r="L298" s="3"/>
      <c r="M298" s="4" t="str">
        <f aca="true">IF(OR(L298="",K298="Replied",K298="Referred",K298="Declined"),"",IF(L298&lt;TODAY(),"OVERDUE",IF(L298-TODAY()&lt;=2,"Due soon","")))</f>
        <v/>
      </c>
    </row>
    <row r="299" customFormat="false" ht="15" hidden="false" customHeight="false" outlineLevel="0" collapsed="false">
      <c r="C299" s="4" t="str">
        <f aca="false">IF(B299="","",IFERROR(INDEX(Opportunities!$B:$B,MATCH(B299,Opportunities!$A:$A,0)),""))</f>
        <v/>
      </c>
      <c r="J299" s="3"/>
      <c r="L299" s="3"/>
      <c r="M299" s="4" t="str">
        <f aca="true">IF(OR(L299="",K299="Replied",K299="Referred",K299="Declined"),"",IF(L299&lt;TODAY(),"OVERDUE",IF(L299-TODAY()&lt;=2,"Due soon","")))</f>
        <v/>
      </c>
    </row>
    <row r="300" customFormat="false" ht="15" hidden="false" customHeight="false" outlineLevel="0" collapsed="false">
      <c r="C300" s="4" t="str">
        <f aca="false">IF(B300="","",IFERROR(INDEX(Opportunities!$B:$B,MATCH(B300,Opportunities!$A:$A,0)),""))</f>
        <v/>
      </c>
      <c r="J300" s="3"/>
      <c r="L300" s="3"/>
      <c r="M300" s="4" t="str">
        <f aca="true">IF(OR(L300="",K300="Replied",K300="Referred",K300="Declined"),"",IF(L300&lt;TODAY(),"OVERDUE",IF(L300-TODAY()&lt;=2,"Due soon","")))</f>
        <v/>
      </c>
    </row>
    <row r="301" customFormat="false" ht="15" hidden="false" customHeight="false" outlineLevel="0" collapsed="false">
      <c r="C301" s="4" t="str">
        <f aca="false">IF(B301="","",IFERROR(INDEX(Opportunities!$B:$B,MATCH(B301,Opportunities!$A:$A,0)),""))</f>
        <v/>
      </c>
      <c r="J301" s="3"/>
      <c r="L301" s="3"/>
      <c r="M301" s="4" t="str">
        <f aca="true">IF(OR(L301="",K301="Replied",K301="Referred",K301="Declined"),"",IF(L301&lt;TODAY(),"OVERDUE",IF(L301-TODAY()&lt;=2,"Due soon","")))</f>
        <v/>
      </c>
    </row>
  </sheetData>
  <dataValidations count="1">
    <dataValidation allowBlank="true" errorStyle="stop" operator="between" showDropDown="false" showErrorMessage="false" showInputMessage="false" sqref="K2:K301" type="list">
      <formula1>Rules!$M$2:$M$20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  <col collapsed="false" customWidth="true" hidden="false" outlineLevel="0" max="7" min="7" style="0" width="44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1" t="s">
        <v>35</v>
      </c>
      <c r="B1" s="1" t="s">
        <v>25</v>
      </c>
      <c r="C1" s="2" t="s">
        <v>1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customFormat="false" ht="15" hidden="false" customHeight="false" outlineLevel="0" collapsed="false">
      <c r="A2" s="3"/>
      <c r="C2" s="4" t="str">
        <f aca="false">IF(B2="","",IFERROR(INDEX(Opportunities!$B:$B,MATCH(B2,Opportunities!$A:$A,0)),""))</f>
        <v/>
      </c>
    </row>
    <row r="3" customFormat="false" ht="15" hidden="false" customHeight="false" outlineLevel="0" collapsed="false">
      <c r="A3" s="3"/>
      <c r="C3" s="4" t="str">
        <f aca="false">IF(B3="","",IFERROR(INDEX(Opportunities!$B:$B,MATCH(B3,Opportunities!$A:$A,0)),""))</f>
        <v/>
      </c>
    </row>
    <row r="4" customFormat="false" ht="15" hidden="false" customHeight="false" outlineLevel="0" collapsed="false">
      <c r="A4" s="3"/>
      <c r="C4" s="4" t="str">
        <f aca="false">IF(B4="","",IFERROR(INDEX(Opportunities!$B:$B,MATCH(B4,Opportunities!$A:$A,0)),""))</f>
        <v/>
      </c>
    </row>
    <row r="5" customFormat="false" ht="15" hidden="false" customHeight="false" outlineLevel="0" collapsed="false">
      <c r="A5" s="3"/>
      <c r="C5" s="4" t="str">
        <f aca="false">IF(B5="","",IFERROR(INDEX(Opportunities!$B:$B,MATCH(B5,Opportunities!$A:$A,0)),""))</f>
        <v/>
      </c>
    </row>
    <row r="6" customFormat="false" ht="15" hidden="false" customHeight="false" outlineLevel="0" collapsed="false">
      <c r="A6" s="3"/>
      <c r="C6" s="4" t="str">
        <f aca="false">IF(B6="","",IFERROR(INDEX(Opportunities!$B:$B,MATCH(B6,Opportunities!$A:$A,0)),""))</f>
        <v/>
      </c>
    </row>
    <row r="7" customFormat="false" ht="15" hidden="false" customHeight="false" outlineLevel="0" collapsed="false">
      <c r="A7" s="3"/>
      <c r="C7" s="4" t="str">
        <f aca="false">IF(B7="","",IFERROR(INDEX(Opportunities!$B:$B,MATCH(B7,Opportunities!$A:$A,0)),""))</f>
        <v/>
      </c>
    </row>
    <row r="8" customFormat="false" ht="15" hidden="false" customHeight="false" outlineLevel="0" collapsed="false">
      <c r="A8" s="3"/>
      <c r="C8" s="4" t="str">
        <f aca="false">IF(B8="","",IFERROR(INDEX(Opportunities!$B:$B,MATCH(B8,Opportunities!$A:$A,0)),""))</f>
        <v/>
      </c>
    </row>
    <row r="9" customFormat="false" ht="15" hidden="false" customHeight="false" outlineLevel="0" collapsed="false">
      <c r="A9" s="3"/>
      <c r="C9" s="4" t="str">
        <f aca="false">IF(B9="","",IFERROR(INDEX(Opportunities!$B:$B,MATCH(B9,Opportunities!$A:$A,0)),""))</f>
        <v/>
      </c>
    </row>
    <row r="10" customFormat="false" ht="15" hidden="false" customHeight="false" outlineLevel="0" collapsed="false">
      <c r="A10" s="3"/>
      <c r="C10" s="4" t="str">
        <f aca="false">IF(B10="","",IFERROR(INDEX(Opportunities!$B:$B,MATCH(B10,Opportunities!$A:$A,0)),""))</f>
        <v/>
      </c>
    </row>
    <row r="11" customFormat="false" ht="15" hidden="false" customHeight="false" outlineLevel="0" collapsed="false">
      <c r="A11" s="3"/>
      <c r="C11" s="4" t="str">
        <f aca="false">IF(B11="","",IFERROR(INDEX(Opportunities!$B:$B,MATCH(B11,Opportunities!$A:$A,0)),""))</f>
        <v/>
      </c>
    </row>
    <row r="12" customFormat="false" ht="15" hidden="false" customHeight="false" outlineLevel="0" collapsed="false">
      <c r="A12" s="3"/>
      <c r="C12" s="4" t="str">
        <f aca="false">IF(B12="","",IFERROR(INDEX(Opportunities!$B:$B,MATCH(B12,Opportunities!$A:$A,0)),""))</f>
        <v/>
      </c>
    </row>
    <row r="13" customFormat="false" ht="15" hidden="false" customHeight="false" outlineLevel="0" collapsed="false">
      <c r="A13" s="3"/>
      <c r="C13" s="4" t="str">
        <f aca="false">IF(B13="","",IFERROR(INDEX(Opportunities!$B:$B,MATCH(B13,Opportunities!$A:$A,0)),""))</f>
        <v/>
      </c>
    </row>
    <row r="14" customFormat="false" ht="15" hidden="false" customHeight="false" outlineLevel="0" collapsed="false">
      <c r="A14" s="3"/>
      <c r="C14" s="4" t="str">
        <f aca="false">IF(B14="","",IFERROR(INDEX(Opportunities!$B:$B,MATCH(B14,Opportunities!$A:$A,0)),""))</f>
        <v/>
      </c>
    </row>
    <row r="15" customFormat="false" ht="15" hidden="false" customHeight="false" outlineLevel="0" collapsed="false">
      <c r="A15" s="3"/>
      <c r="C15" s="4" t="str">
        <f aca="false">IF(B15="","",IFERROR(INDEX(Opportunities!$B:$B,MATCH(B15,Opportunities!$A:$A,0)),""))</f>
        <v/>
      </c>
    </row>
    <row r="16" customFormat="false" ht="15" hidden="false" customHeight="false" outlineLevel="0" collapsed="false">
      <c r="A16" s="3"/>
      <c r="C16" s="4" t="str">
        <f aca="false">IF(B16="","",IFERROR(INDEX(Opportunities!$B:$B,MATCH(B16,Opportunities!$A:$A,0)),""))</f>
        <v/>
      </c>
    </row>
    <row r="17" customFormat="false" ht="15" hidden="false" customHeight="false" outlineLevel="0" collapsed="false">
      <c r="A17" s="3"/>
      <c r="C17" s="4" t="str">
        <f aca="false">IF(B17="","",IFERROR(INDEX(Opportunities!$B:$B,MATCH(B17,Opportunities!$A:$A,0)),""))</f>
        <v/>
      </c>
    </row>
    <row r="18" customFormat="false" ht="15" hidden="false" customHeight="false" outlineLevel="0" collapsed="false">
      <c r="A18" s="3"/>
      <c r="C18" s="4" t="str">
        <f aca="false">IF(B18="","",IFERROR(INDEX(Opportunities!$B:$B,MATCH(B18,Opportunities!$A:$A,0)),""))</f>
        <v/>
      </c>
    </row>
    <row r="19" customFormat="false" ht="15" hidden="false" customHeight="false" outlineLevel="0" collapsed="false">
      <c r="A19" s="3"/>
      <c r="C19" s="4" t="str">
        <f aca="false">IF(B19="","",IFERROR(INDEX(Opportunities!$B:$B,MATCH(B19,Opportunities!$A:$A,0)),""))</f>
        <v/>
      </c>
    </row>
    <row r="20" customFormat="false" ht="15" hidden="false" customHeight="false" outlineLevel="0" collapsed="false">
      <c r="A20" s="3"/>
      <c r="C20" s="4" t="str">
        <f aca="false">IF(B20="","",IFERROR(INDEX(Opportunities!$B:$B,MATCH(B20,Opportunities!$A:$A,0)),""))</f>
        <v/>
      </c>
    </row>
    <row r="21" customFormat="false" ht="15" hidden="false" customHeight="false" outlineLevel="0" collapsed="false">
      <c r="A21" s="3"/>
      <c r="C21" s="4" t="str">
        <f aca="false">IF(B21="","",IFERROR(INDEX(Opportunities!$B:$B,MATCH(B21,Opportunities!$A:$A,0)),""))</f>
        <v/>
      </c>
    </row>
    <row r="22" customFormat="false" ht="15" hidden="false" customHeight="false" outlineLevel="0" collapsed="false">
      <c r="A22" s="3"/>
      <c r="C22" s="4" t="str">
        <f aca="false">IF(B22="","",IFERROR(INDEX(Opportunities!$B:$B,MATCH(B22,Opportunities!$A:$A,0)),""))</f>
        <v/>
      </c>
    </row>
    <row r="23" customFormat="false" ht="15" hidden="false" customHeight="false" outlineLevel="0" collapsed="false">
      <c r="A23" s="3"/>
      <c r="C23" s="4" t="str">
        <f aca="false">IF(B23="","",IFERROR(INDEX(Opportunities!$B:$B,MATCH(B23,Opportunities!$A:$A,0)),""))</f>
        <v/>
      </c>
    </row>
    <row r="24" customFormat="false" ht="15" hidden="false" customHeight="false" outlineLevel="0" collapsed="false">
      <c r="A24" s="3"/>
      <c r="C24" s="4" t="str">
        <f aca="false">IF(B24="","",IFERROR(INDEX(Opportunities!$B:$B,MATCH(B24,Opportunities!$A:$A,0)),""))</f>
        <v/>
      </c>
    </row>
    <row r="25" customFormat="false" ht="15" hidden="false" customHeight="false" outlineLevel="0" collapsed="false">
      <c r="A25" s="3"/>
      <c r="C25" s="4" t="str">
        <f aca="false">IF(B25="","",IFERROR(INDEX(Opportunities!$B:$B,MATCH(B25,Opportunities!$A:$A,0)),""))</f>
        <v/>
      </c>
    </row>
    <row r="26" customFormat="false" ht="15" hidden="false" customHeight="false" outlineLevel="0" collapsed="false">
      <c r="A26" s="3"/>
      <c r="C26" s="4" t="str">
        <f aca="false">IF(B26="","",IFERROR(INDEX(Opportunities!$B:$B,MATCH(B26,Opportunities!$A:$A,0)),""))</f>
        <v/>
      </c>
    </row>
    <row r="27" customFormat="false" ht="15" hidden="false" customHeight="false" outlineLevel="0" collapsed="false">
      <c r="A27" s="3"/>
      <c r="C27" s="4" t="str">
        <f aca="false">IF(B27="","",IFERROR(INDEX(Opportunities!$B:$B,MATCH(B27,Opportunities!$A:$A,0)),""))</f>
        <v/>
      </c>
    </row>
    <row r="28" customFormat="false" ht="15" hidden="false" customHeight="false" outlineLevel="0" collapsed="false">
      <c r="A28" s="3"/>
      <c r="C28" s="4" t="str">
        <f aca="false">IF(B28="","",IFERROR(INDEX(Opportunities!$B:$B,MATCH(B28,Opportunities!$A:$A,0)),""))</f>
        <v/>
      </c>
    </row>
    <row r="29" customFormat="false" ht="15" hidden="false" customHeight="false" outlineLevel="0" collapsed="false">
      <c r="A29" s="3"/>
      <c r="C29" s="4" t="str">
        <f aca="false">IF(B29="","",IFERROR(INDEX(Opportunities!$B:$B,MATCH(B29,Opportunities!$A:$A,0)),""))</f>
        <v/>
      </c>
    </row>
    <row r="30" customFormat="false" ht="15" hidden="false" customHeight="false" outlineLevel="0" collapsed="false">
      <c r="A30" s="3"/>
      <c r="C30" s="4" t="str">
        <f aca="false">IF(B30="","",IFERROR(INDEX(Opportunities!$B:$B,MATCH(B30,Opportunities!$A:$A,0)),""))</f>
        <v/>
      </c>
    </row>
    <row r="31" customFormat="false" ht="15" hidden="false" customHeight="false" outlineLevel="0" collapsed="false">
      <c r="A31" s="3"/>
      <c r="C31" s="4" t="str">
        <f aca="false">IF(B31="","",IFERROR(INDEX(Opportunities!$B:$B,MATCH(B31,Opportunities!$A:$A,0)),""))</f>
        <v/>
      </c>
    </row>
    <row r="32" customFormat="false" ht="15" hidden="false" customHeight="false" outlineLevel="0" collapsed="false">
      <c r="A32" s="3"/>
      <c r="C32" s="4" t="str">
        <f aca="false">IF(B32="","",IFERROR(INDEX(Opportunities!$B:$B,MATCH(B32,Opportunities!$A:$A,0)),""))</f>
        <v/>
      </c>
    </row>
    <row r="33" customFormat="false" ht="15" hidden="false" customHeight="false" outlineLevel="0" collapsed="false">
      <c r="A33" s="3"/>
      <c r="C33" s="4" t="str">
        <f aca="false">IF(B33="","",IFERROR(INDEX(Opportunities!$B:$B,MATCH(B33,Opportunities!$A:$A,0)),""))</f>
        <v/>
      </c>
    </row>
    <row r="34" customFormat="false" ht="15" hidden="false" customHeight="false" outlineLevel="0" collapsed="false">
      <c r="A34" s="3"/>
      <c r="C34" s="4" t="str">
        <f aca="false">IF(B34="","",IFERROR(INDEX(Opportunities!$B:$B,MATCH(B34,Opportunities!$A:$A,0)),""))</f>
        <v/>
      </c>
    </row>
    <row r="35" customFormat="false" ht="15" hidden="false" customHeight="false" outlineLevel="0" collapsed="false">
      <c r="A35" s="3"/>
      <c r="C35" s="4" t="str">
        <f aca="false">IF(B35="","",IFERROR(INDEX(Opportunities!$B:$B,MATCH(B35,Opportunities!$A:$A,0)),""))</f>
        <v/>
      </c>
    </row>
    <row r="36" customFormat="false" ht="15" hidden="false" customHeight="false" outlineLevel="0" collapsed="false">
      <c r="A36" s="3"/>
      <c r="C36" s="4" t="str">
        <f aca="false">IF(B36="","",IFERROR(INDEX(Opportunities!$B:$B,MATCH(B36,Opportunities!$A:$A,0)),""))</f>
        <v/>
      </c>
    </row>
    <row r="37" customFormat="false" ht="15" hidden="false" customHeight="false" outlineLevel="0" collapsed="false">
      <c r="A37" s="3"/>
      <c r="C37" s="4" t="str">
        <f aca="false">IF(B37="","",IFERROR(INDEX(Opportunities!$B:$B,MATCH(B37,Opportunities!$A:$A,0)),""))</f>
        <v/>
      </c>
    </row>
    <row r="38" customFormat="false" ht="15" hidden="false" customHeight="false" outlineLevel="0" collapsed="false">
      <c r="A38" s="3"/>
      <c r="C38" s="4" t="str">
        <f aca="false">IF(B38="","",IFERROR(INDEX(Opportunities!$B:$B,MATCH(B38,Opportunities!$A:$A,0)),""))</f>
        <v/>
      </c>
    </row>
    <row r="39" customFormat="false" ht="15" hidden="false" customHeight="false" outlineLevel="0" collapsed="false">
      <c r="A39" s="3"/>
      <c r="C39" s="4" t="str">
        <f aca="false">IF(B39="","",IFERROR(INDEX(Opportunities!$B:$B,MATCH(B39,Opportunities!$A:$A,0)),""))</f>
        <v/>
      </c>
    </row>
    <row r="40" customFormat="false" ht="15" hidden="false" customHeight="false" outlineLevel="0" collapsed="false">
      <c r="A40" s="3"/>
      <c r="C40" s="4" t="str">
        <f aca="false">IF(B40="","",IFERROR(INDEX(Opportunities!$B:$B,MATCH(B40,Opportunities!$A:$A,0)),""))</f>
        <v/>
      </c>
    </row>
    <row r="41" customFormat="false" ht="15" hidden="false" customHeight="false" outlineLevel="0" collapsed="false">
      <c r="A41" s="3"/>
      <c r="C41" s="4" t="str">
        <f aca="false">IF(B41="","",IFERROR(INDEX(Opportunities!$B:$B,MATCH(B41,Opportunities!$A:$A,0)),""))</f>
        <v/>
      </c>
    </row>
    <row r="42" customFormat="false" ht="15" hidden="false" customHeight="false" outlineLevel="0" collapsed="false">
      <c r="A42" s="3"/>
      <c r="C42" s="4" t="str">
        <f aca="false">IF(B42="","",IFERROR(INDEX(Opportunities!$B:$B,MATCH(B42,Opportunities!$A:$A,0)),""))</f>
        <v/>
      </c>
    </row>
    <row r="43" customFormat="false" ht="15" hidden="false" customHeight="false" outlineLevel="0" collapsed="false">
      <c r="A43" s="3"/>
      <c r="C43" s="4" t="str">
        <f aca="false">IF(B43="","",IFERROR(INDEX(Opportunities!$B:$B,MATCH(B43,Opportunities!$A:$A,0)),""))</f>
        <v/>
      </c>
    </row>
    <row r="44" customFormat="false" ht="15" hidden="false" customHeight="false" outlineLevel="0" collapsed="false">
      <c r="A44" s="3"/>
      <c r="C44" s="4" t="str">
        <f aca="false">IF(B44="","",IFERROR(INDEX(Opportunities!$B:$B,MATCH(B44,Opportunities!$A:$A,0)),""))</f>
        <v/>
      </c>
    </row>
    <row r="45" customFormat="false" ht="15" hidden="false" customHeight="false" outlineLevel="0" collapsed="false">
      <c r="A45" s="3"/>
      <c r="C45" s="4" t="str">
        <f aca="false">IF(B45="","",IFERROR(INDEX(Opportunities!$B:$B,MATCH(B45,Opportunities!$A:$A,0)),""))</f>
        <v/>
      </c>
    </row>
    <row r="46" customFormat="false" ht="15" hidden="false" customHeight="false" outlineLevel="0" collapsed="false">
      <c r="A46" s="3"/>
      <c r="C46" s="4" t="str">
        <f aca="false">IF(B46="","",IFERROR(INDEX(Opportunities!$B:$B,MATCH(B46,Opportunities!$A:$A,0)),""))</f>
        <v/>
      </c>
    </row>
    <row r="47" customFormat="false" ht="15" hidden="false" customHeight="false" outlineLevel="0" collapsed="false">
      <c r="A47" s="3"/>
      <c r="C47" s="4" t="str">
        <f aca="false">IF(B47="","",IFERROR(INDEX(Opportunities!$B:$B,MATCH(B47,Opportunities!$A:$A,0)),""))</f>
        <v/>
      </c>
    </row>
    <row r="48" customFormat="false" ht="15" hidden="false" customHeight="false" outlineLevel="0" collapsed="false">
      <c r="A48" s="3"/>
      <c r="C48" s="4" t="str">
        <f aca="false">IF(B48="","",IFERROR(INDEX(Opportunities!$B:$B,MATCH(B48,Opportunities!$A:$A,0)),""))</f>
        <v/>
      </c>
    </row>
    <row r="49" customFormat="false" ht="15" hidden="false" customHeight="false" outlineLevel="0" collapsed="false">
      <c r="A49" s="3"/>
      <c r="C49" s="4" t="str">
        <f aca="false">IF(B49="","",IFERROR(INDEX(Opportunities!$B:$B,MATCH(B49,Opportunities!$A:$A,0)),""))</f>
        <v/>
      </c>
    </row>
    <row r="50" customFormat="false" ht="15" hidden="false" customHeight="false" outlineLevel="0" collapsed="false">
      <c r="A50" s="3"/>
      <c r="C50" s="4" t="str">
        <f aca="false">IF(B50="","",IFERROR(INDEX(Opportunities!$B:$B,MATCH(B50,Opportunities!$A:$A,0)),""))</f>
        <v/>
      </c>
    </row>
    <row r="51" customFormat="false" ht="15" hidden="false" customHeight="false" outlineLevel="0" collapsed="false">
      <c r="A51" s="3"/>
      <c r="C51" s="4" t="str">
        <f aca="false">IF(B51="","",IFERROR(INDEX(Opportunities!$B:$B,MATCH(B51,Opportunities!$A:$A,0)),""))</f>
        <v/>
      </c>
    </row>
    <row r="52" customFormat="false" ht="15" hidden="false" customHeight="false" outlineLevel="0" collapsed="false">
      <c r="A52" s="3"/>
      <c r="C52" s="4" t="str">
        <f aca="false">IF(B52="","",IFERROR(INDEX(Opportunities!$B:$B,MATCH(B52,Opportunities!$A:$A,0)),""))</f>
        <v/>
      </c>
    </row>
    <row r="53" customFormat="false" ht="15" hidden="false" customHeight="false" outlineLevel="0" collapsed="false">
      <c r="A53" s="3"/>
      <c r="C53" s="4" t="str">
        <f aca="false">IF(B53="","",IFERROR(INDEX(Opportunities!$B:$B,MATCH(B53,Opportunities!$A:$A,0)),""))</f>
        <v/>
      </c>
    </row>
    <row r="54" customFormat="false" ht="15" hidden="false" customHeight="false" outlineLevel="0" collapsed="false">
      <c r="A54" s="3"/>
      <c r="C54" s="4" t="str">
        <f aca="false">IF(B54="","",IFERROR(INDEX(Opportunities!$B:$B,MATCH(B54,Opportunities!$A:$A,0)),""))</f>
        <v/>
      </c>
    </row>
    <row r="55" customFormat="false" ht="15" hidden="false" customHeight="false" outlineLevel="0" collapsed="false">
      <c r="A55" s="3"/>
      <c r="C55" s="4" t="str">
        <f aca="false">IF(B55="","",IFERROR(INDEX(Opportunities!$B:$B,MATCH(B55,Opportunities!$A:$A,0)),""))</f>
        <v/>
      </c>
    </row>
    <row r="56" customFormat="false" ht="15" hidden="false" customHeight="false" outlineLevel="0" collapsed="false">
      <c r="A56" s="3"/>
      <c r="C56" s="4" t="str">
        <f aca="false">IF(B56="","",IFERROR(INDEX(Opportunities!$B:$B,MATCH(B56,Opportunities!$A:$A,0)),""))</f>
        <v/>
      </c>
    </row>
    <row r="57" customFormat="false" ht="15" hidden="false" customHeight="false" outlineLevel="0" collapsed="false">
      <c r="A57" s="3"/>
      <c r="C57" s="4" t="str">
        <f aca="false">IF(B57="","",IFERROR(INDEX(Opportunities!$B:$B,MATCH(B57,Opportunities!$A:$A,0)),""))</f>
        <v/>
      </c>
    </row>
    <row r="58" customFormat="false" ht="15" hidden="false" customHeight="false" outlineLevel="0" collapsed="false">
      <c r="A58" s="3"/>
      <c r="C58" s="4" t="str">
        <f aca="false">IF(B58="","",IFERROR(INDEX(Opportunities!$B:$B,MATCH(B58,Opportunities!$A:$A,0)),""))</f>
        <v/>
      </c>
    </row>
    <row r="59" customFormat="false" ht="15" hidden="false" customHeight="false" outlineLevel="0" collapsed="false">
      <c r="A59" s="3"/>
      <c r="C59" s="4" t="str">
        <f aca="false">IF(B59="","",IFERROR(INDEX(Opportunities!$B:$B,MATCH(B59,Opportunities!$A:$A,0)),""))</f>
        <v/>
      </c>
    </row>
    <row r="60" customFormat="false" ht="15" hidden="false" customHeight="false" outlineLevel="0" collapsed="false">
      <c r="A60" s="3"/>
      <c r="C60" s="4" t="str">
        <f aca="false">IF(B60="","",IFERROR(INDEX(Opportunities!$B:$B,MATCH(B60,Opportunities!$A:$A,0)),""))</f>
        <v/>
      </c>
    </row>
    <row r="61" customFormat="false" ht="15" hidden="false" customHeight="false" outlineLevel="0" collapsed="false">
      <c r="A61" s="3"/>
      <c r="C61" s="4" t="str">
        <f aca="false">IF(B61="","",IFERROR(INDEX(Opportunities!$B:$B,MATCH(B61,Opportunities!$A:$A,0)),""))</f>
        <v/>
      </c>
    </row>
    <row r="62" customFormat="false" ht="15" hidden="false" customHeight="false" outlineLevel="0" collapsed="false">
      <c r="A62" s="3"/>
      <c r="C62" s="4" t="str">
        <f aca="false">IF(B62="","",IFERROR(INDEX(Opportunities!$B:$B,MATCH(B62,Opportunities!$A:$A,0)),""))</f>
        <v/>
      </c>
    </row>
    <row r="63" customFormat="false" ht="15" hidden="false" customHeight="false" outlineLevel="0" collapsed="false">
      <c r="A63" s="3"/>
      <c r="C63" s="4" t="str">
        <f aca="false">IF(B63="","",IFERROR(INDEX(Opportunities!$B:$B,MATCH(B63,Opportunities!$A:$A,0)),""))</f>
        <v/>
      </c>
    </row>
    <row r="64" customFormat="false" ht="15" hidden="false" customHeight="false" outlineLevel="0" collapsed="false">
      <c r="A64" s="3"/>
      <c r="C64" s="4" t="str">
        <f aca="false">IF(B64="","",IFERROR(INDEX(Opportunities!$B:$B,MATCH(B64,Opportunities!$A:$A,0)),""))</f>
        <v/>
      </c>
    </row>
    <row r="65" customFormat="false" ht="15" hidden="false" customHeight="false" outlineLevel="0" collapsed="false">
      <c r="A65" s="3"/>
      <c r="C65" s="4" t="str">
        <f aca="false">IF(B65="","",IFERROR(INDEX(Opportunities!$B:$B,MATCH(B65,Opportunities!$A:$A,0)),""))</f>
        <v/>
      </c>
    </row>
    <row r="66" customFormat="false" ht="15" hidden="false" customHeight="false" outlineLevel="0" collapsed="false">
      <c r="A66" s="3"/>
      <c r="C66" s="4" t="str">
        <f aca="false">IF(B66="","",IFERROR(INDEX(Opportunities!$B:$B,MATCH(B66,Opportunities!$A:$A,0)),""))</f>
        <v/>
      </c>
    </row>
    <row r="67" customFormat="false" ht="15" hidden="false" customHeight="false" outlineLevel="0" collapsed="false">
      <c r="A67" s="3"/>
      <c r="C67" s="4" t="str">
        <f aca="false">IF(B67="","",IFERROR(INDEX(Opportunities!$B:$B,MATCH(B67,Opportunities!$A:$A,0)),""))</f>
        <v/>
      </c>
    </row>
    <row r="68" customFormat="false" ht="15" hidden="false" customHeight="false" outlineLevel="0" collapsed="false">
      <c r="A68" s="3"/>
      <c r="C68" s="4" t="str">
        <f aca="false">IF(B68="","",IFERROR(INDEX(Opportunities!$B:$B,MATCH(B68,Opportunities!$A:$A,0)),""))</f>
        <v/>
      </c>
    </row>
    <row r="69" customFormat="false" ht="15" hidden="false" customHeight="false" outlineLevel="0" collapsed="false">
      <c r="A69" s="3"/>
      <c r="C69" s="4" t="str">
        <f aca="false">IF(B69="","",IFERROR(INDEX(Opportunities!$B:$B,MATCH(B69,Opportunities!$A:$A,0)),""))</f>
        <v/>
      </c>
    </row>
    <row r="70" customFormat="false" ht="15" hidden="false" customHeight="false" outlineLevel="0" collapsed="false">
      <c r="A70" s="3"/>
      <c r="C70" s="4" t="str">
        <f aca="false">IF(B70="","",IFERROR(INDEX(Opportunities!$B:$B,MATCH(B70,Opportunities!$A:$A,0)),""))</f>
        <v/>
      </c>
    </row>
    <row r="71" customFormat="false" ht="15" hidden="false" customHeight="false" outlineLevel="0" collapsed="false">
      <c r="A71" s="3"/>
      <c r="C71" s="4" t="str">
        <f aca="false">IF(B71="","",IFERROR(INDEX(Opportunities!$B:$B,MATCH(B71,Opportunities!$A:$A,0)),""))</f>
        <v/>
      </c>
    </row>
    <row r="72" customFormat="false" ht="15" hidden="false" customHeight="false" outlineLevel="0" collapsed="false">
      <c r="A72" s="3"/>
      <c r="C72" s="4" t="str">
        <f aca="false">IF(B72="","",IFERROR(INDEX(Opportunities!$B:$B,MATCH(B72,Opportunities!$A:$A,0)),""))</f>
        <v/>
      </c>
    </row>
    <row r="73" customFormat="false" ht="15" hidden="false" customHeight="false" outlineLevel="0" collapsed="false">
      <c r="A73" s="3"/>
      <c r="C73" s="4" t="str">
        <f aca="false">IF(B73="","",IFERROR(INDEX(Opportunities!$B:$B,MATCH(B73,Opportunities!$A:$A,0)),""))</f>
        <v/>
      </c>
    </row>
    <row r="74" customFormat="false" ht="15" hidden="false" customHeight="false" outlineLevel="0" collapsed="false">
      <c r="A74" s="3"/>
      <c r="C74" s="4" t="str">
        <f aca="false">IF(B74="","",IFERROR(INDEX(Opportunities!$B:$B,MATCH(B74,Opportunities!$A:$A,0)),""))</f>
        <v/>
      </c>
    </row>
    <row r="75" customFormat="false" ht="15" hidden="false" customHeight="false" outlineLevel="0" collapsed="false">
      <c r="A75" s="3"/>
      <c r="C75" s="4" t="str">
        <f aca="false">IF(B75="","",IFERROR(INDEX(Opportunities!$B:$B,MATCH(B75,Opportunities!$A:$A,0)),""))</f>
        <v/>
      </c>
    </row>
    <row r="76" customFormat="false" ht="15" hidden="false" customHeight="false" outlineLevel="0" collapsed="false">
      <c r="A76" s="3"/>
      <c r="C76" s="4" t="str">
        <f aca="false">IF(B76="","",IFERROR(INDEX(Opportunities!$B:$B,MATCH(B76,Opportunities!$A:$A,0)),""))</f>
        <v/>
      </c>
    </row>
    <row r="77" customFormat="false" ht="15" hidden="false" customHeight="false" outlineLevel="0" collapsed="false">
      <c r="A77" s="3"/>
      <c r="C77" s="4" t="str">
        <f aca="false">IF(B77="","",IFERROR(INDEX(Opportunities!$B:$B,MATCH(B77,Opportunities!$A:$A,0)),""))</f>
        <v/>
      </c>
    </row>
    <row r="78" customFormat="false" ht="15" hidden="false" customHeight="false" outlineLevel="0" collapsed="false">
      <c r="A78" s="3"/>
      <c r="C78" s="4" t="str">
        <f aca="false">IF(B78="","",IFERROR(INDEX(Opportunities!$B:$B,MATCH(B78,Opportunities!$A:$A,0)),""))</f>
        <v/>
      </c>
    </row>
    <row r="79" customFormat="false" ht="15" hidden="false" customHeight="false" outlineLevel="0" collapsed="false">
      <c r="A79" s="3"/>
      <c r="C79" s="4" t="str">
        <f aca="false">IF(B79="","",IFERROR(INDEX(Opportunities!$B:$B,MATCH(B79,Opportunities!$A:$A,0)),""))</f>
        <v/>
      </c>
    </row>
    <row r="80" customFormat="false" ht="15" hidden="false" customHeight="false" outlineLevel="0" collapsed="false">
      <c r="A80" s="3"/>
      <c r="C80" s="4" t="str">
        <f aca="false">IF(B80="","",IFERROR(INDEX(Opportunities!$B:$B,MATCH(B80,Opportunities!$A:$A,0)),""))</f>
        <v/>
      </c>
    </row>
    <row r="81" customFormat="false" ht="15" hidden="false" customHeight="false" outlineLevel="0" collapsed="false">
      <c r="A81" s="3"/>
      <c r="C81" s="4" t="str">
        <f aca="false">IF(B81="","",IFERROR(INDEX(Opportunities!$B:$B,MATCH(B81,Opportunities!$A:$A,0)),""))</f>
        <v/>
      </c>
    </row>
    <row r="82" customFormat="false" ht="15" hidden="false" customHeight="false" outlineLevel="0" collapsed="false">
      <c r="A82" s="3"/>
      <c r="C82" s="4" t="str">
        <f aca="false">IF(B82="","",IFERROR(INDEX(Opportunities!$B:$B,MATCH(B82,Opportunities!$A:$A,0)),""))</f>
        <v/>
      </c>
    </row>
    <row r="83" customFormat="false" ht="15" hidden="false" customHeight="false" outlineLevel="0" collapsed="false">
      <c r="A83" s="3"/>
      <c r="C83" s="4" t="str">
        <f aca="false">IF(B83="","",IFERROR(INDEX(Opportunities!$B:$B,MATCH(B83,Opportunities!$A:$A,0)),""))</f>
        <v/>
      </c>
    </row>
    <row r="84" customFormat="false" ht="15" hidden="false" customHeight="false" outlineLevel="0" collapsed="false">
      <c r="A84" s="3"/>
      <c r="C84" s="4" t="str">
        <f aca="false">IF(B84="","",IFERROR(INDEX(Opportunities!$B:$B,MATCH(B84,Opportunities!$A:$A,0)),""))</f>
        <v/>
      </c>
    </row>
    <row r="85" customFormat="false" ht="15" hidden="false" customHeight="false" outlineLevel="0" collapsed="false">
      <c r="A85" s="3"/>
      <c r="C85" s="4" t="str">
        <f aca="false">IF(B85="","",IFERROR(INDEX(Opportunities!$B:$B,MATCH(B85,Opportunities!$A:$A,0)),""))</f>
        <v/>
      </c>
    </row>
    <row r="86" customFormat="false" ht="15" hidden="false" customHeight="false" outlineLevel="0" collapsed="false">
      <c r="A86" s="3"/>
      <c r="C86" s="4" t="str">
        <f aca="false">IF(B86="","",IFERROR(INDEX(Opportunities!$B:$B,MATCH(B86,Opportunities!$A:$A,0)),""))</f>
        <v/>
      </c>
    </row>
    <row r="87" customFormat="false" ht="15" hidden="false" customHeight="false" outlineLevel="0" collapsed="false">
      <c r="A87" s="3"/>
      <c r="C87" s="4" t="str">
        <f aca="false">IF(B87="","",IFERROR(INDEX(Opportunities!$B:$B,MATCH(B87,Opportunities!$A:$A,0)),""))</f>
        <v/>
      </c>
    </row>
    <row r="88" customFormat="false" ht="15" hidden="false" customHeight="false" outlineLevel="0" collapsed="false">
      <c r="A88" s="3"/>
      <c r="C88" s="4" t="str">
        <f aca="false">IF(B88="","",IFERROR(INDEX(Opportunities!$B:$B,MATCH(B88,Opportunities!$A:$A,0)),""))</f>
        <v/>
      </c>
    </row>
    <row r="89" customFormat="false" ht="15" hidden="false" customHeight="false" outlineLevel="0" collapsed="false">
      <c r="A89" s="3"/>
      <c r="C89" s="4" t="str">
        <f aca="false">IF(B89="","",IFERROR(INDEX(Opportunities!$B:$B,MATCH(B89,Opportunities!$A:$A,0)),""))</f>
        <v/>
      </c>
    </row>
    <row r="90" customFormat="false" ht="15" hidden="false" customHeight="false" outlineLevel="0" collapsed="false">
      <c r="A90" s="3"/>
      <c r="C90" s="4" t="str">
        <f aca="false">IF(B90="","",IFERROR(INDEX(Opportunities!$B:$B,MATCH(B90,Opportunities!$A:$A,0)),""))</f>
        <v/>
      </c>
    </row>
    <row r="91" customFormat="false" ht="15" hidden="false" customHeight="false" outlineLevel="0" collapsed="false">
      <c r="A91" s="3"/>
      <c r="C91" s="4" t="str">
        <f aca="false">IF(B91="","",IFERROR(INDEX(Opportunities!$B:$B,MATCH(B91,Opportunities!$A:$A,0)),""))</f>
        <v/>
      </c>
    </row>
    <row r="92" customFormat="false" ht="15" hidden="false" customHeight="false" outlineLevel="0" collapsed="false">
      <c r="A92" s="3"/>
      <c r="C92" s="4" t="str">
        <f aca="false">IF(B92="","",IFERROR(INDEX(Opportunities!$B:$B,MATCH(B92,Opportunities!$A:$A,0)),""))</f>
        <v/>
      </c>
    </row>
    <row r="93" customFormat="false" ht="15" hidden="false" customHeight="false" outlineLevel="0" collapsed="false">
      <c r="A93" s="3"/>
      <c r="C93" s="4" t="str">
        <f aca="false">IF(B93="","",IFERROR(INDEX(Opportunities!$B:$B,MATCH(B93,Opportunities!$A:$A,0)),""))</f>
        <v/>
      </c>
    </row>
    <row r="94" customFormat="false" ht="15" hidden="false" customHeight="false" outlineLevel="0" collapsed="false">
      <c r="A94" s="3"/>
      <c r="C94" s="4" t="str">
        <f aca="false">IF(B94="","",IFERROR(INDEX(Opportunities!$B:$B,MATCH(B94,Opportunities!$A:$A,0)),""))</f>
        <v/>
      </c>
    </row>
    <row r="95" customFormat="false" ht="15" hidden="false" customHeight="false" outlineLevel="0" collapsed="false">
      <c r="A95" s="3"/>
      <c r="C95" s="4" t="str">
        <f aca="false">IF(B95="","",IFERROR(INDEX(Opportunities!$B:$B,MATCH(B95,Opportunities!$A:$A,0)),""))</f>
        <v/>
      </c>
    </row>
    <row r="96" customFormat="false" ht="15" hidden="false" customHeight="false" outlineLevel="0" collapsed="false">
      <c r="A96" s="3"/>
      <c r="C96" s="4" t="str">
        <f aca="false">IF(B96="","",IFERROR(INDEX(Opportunities!$B:$B,MATCH(B96,Opportunities!$A:$A,0)),""))</f>
        <v/>
      </c>
    </row>
    <row r="97" customFormat="false" ht="15" hidden="false" customHeight="false" outlineLevel="0" collapsed="false">
      <c r="A97" s="3"/>
      <c r="C97" s="4" t="str">
        <f aca="false">IF(B97="","",IFERROR(INDEX(Opportunities!$B:$B,MATCH(B97,Opportunities!$A:$A,0)),""))</f>
        <v/>
      </c>
    </row>
    <row r="98" customFormat="false" ht="15" hidden="false" customHeight="false" outlineLevel="0" collapsed="false">
      <c r="A98" s="3"/>
      <c r="C98" s="4" t="str">
        <f aca="false">IF(B98="","",IFERROR(INDEX(Opportunities!$B:$B,MATCH(B98,Opportunities!$A:$A,0)),""))</f>
        <v/>
      </c>
    </row>
    <row r="99" customFormat="false" ht="15" hidden="false" customHeight="false" outlineLevel="0" collapsed="false">
      <c r="A99" s="3"/>
      <c r="C99" s="4" t="str">
        <f aca="false">IF(B99="","",IFERROR(INDEX(Opportunities!$B:$B,MATCH(B99,Opportunities!$A:$A,0)),""))</f>
        <v/>
      </c>
    </row>
    <row r="100" customFormat="false" ht="15" hidden="false" customHeight="false" outlineLevel="0" collapsed="false">
      <c r="A100" s="3"/>
      <c r="C100" s="4" t="str">
        <f aca="false">IF(B100="","",IFERROR(INDEX(Opportunities!$B:$B,MATCH(B100,Opportunities!$A:$A,0)),""))</f>
        <v/>
      </c>
    </row>
    <row r="101" customFormat="false" ht="15" hidden="false" customHeight="false" outlineLevel="0" collapsed="false">
      <c r="A101" s="3"/>
      <c r="C101" s="4" t="str">
        <f aca="false">IF(B101="","",IFERROR(INDEX(Opportunities!$B:$B,MATCH(B101,Opportunities!$A:$A,0)),""))</f>
        <v/>
      </c>
    </row>
    <row r="102" customFormat="false" ht="15" hidden="false" customHeight="false" outlineLevel="0" collapsed="false">
      <c r="A102" s="3"/>
      <c r="C102" s="4" t="str">
        <f aca="false">IF(B102="","",IFERROR(INDEX(Opportunities!$B:$B,MATCH(B102,Opportunities!$A:$A,0)),""))</f>
        <v/>
      </c>
    </row>
    <row r="103" customFormat="false" ht="15" hidden="false" customHeight="false" outlineLevel="0" collapsed="false">
      <c r="A103" s="3"/>
      <c r="C103" s="4" t="str">
        <f aca="false">IF(B103="","",IFERROR(INDEX(Opportunities!$B:$B,MATCH(B103,Opportunities!$A:$A,0)),""))</f>
        <v/>
      </c>
    </row>
    <row r="104" customFormat="false" ht="15" hidden="false" customHeight="false" outlineLevel="0" collapsed="false">
      <c r="A104" s="3"/>
      <c r="C104" s="4" t="str">
        <f aca="false">IF(B104="","",IFERROR(INDEX(Opportunities!$B:$B,MATCH(B104,Opportunities!$A:$A,0)),""))</f>
        <v/>
      </c>
    </row>
    <row r="105" customFormat="false" ht="15" hidden="false" customHeight="false" outlineLevel="0" collapsed="false">
      <c r="A105" s="3"/>
      <c r="C105" s="4" t="str">
        <f aca="false">IF(B105="","",IFERROR(INDEX(Opportunities!$B:$B,MATCH(B105,Opportunities!$A:$A,0)),""))</f>
        <v/>
      </c>
    </row>
    <row r="106" customFormat="false" ht="15" hidden="false" customHeight="false" outlineLevel="0" collapsed="false">
      <c r="A106" s="3"/>
      <c r="C106" s="4" t="str">
        <f aca="false">IF(B106="","",IFERROR(INDEX(Opportunities!$B:$B,MATCH(B106,Opportunities!$A:$A,0)),""))</f>
        <v/>
      </c>
    </row>
    <row r="107" customFormat="false" ht="15" hidden="false" customHeight="false" outlineLevel="0" collapsed="false">
      <c r="A107" s="3"/>
      <c r="C107" s="4" t="str">
        <f aca="false">IF(B107="","",IFERROR(INDEX(Opportunities!$B:$B,MATCH(B107,Opportunities!$A:$A,0)),""))</f>
        <v/>
      </c>
    </row>
    <row r="108" customFormat="false" ht="15" hidden="false" customHeight="false" outlineLevel="0" collapsed="false">
      <c r="A108" s="3"/>
      <c r="C108" s="4" t="str">
        <f aca="false">IF(B108="","",IFERROR(INDEX(Opportunities!$B:$B,MATCH(B108,Opportunities!$A:$A,0)),""))</f>
        <v/>
      </c>
    </row>
    <row r="109" customFormat="false" ht="15" hidden="false" customHeight="false" outlineLevel="0" collapsed="false">
      <c r="A109" s="3"/>
      <c r="C109" s="4" t="str">
        <f aca="false">IF(B109="","",IFERROR(INDEX(Opportunities!$B:$B,MATCH(B109,Opportunities!$A:$A,0)),""))</f>
        <v/>
      </c>
    </row>
    <row r="110" customFormat="false" ht="15" hidden="false" customHeight="false" outlineLevel="0" collapsed="false">
      <c r="A110" s="3"/>
      <c r="C110" s="4" t="str">
        <f aca="false">IF(B110="","",IFERROR(INDEX(Opportunities!$B:$B,MATCH(B110,Opportunities!$A:$A,0)),""))</f>
        <v/>
      </c>
    </row>
    <row r="111" customFormat="false" ht="15" hidden="false" customHeight="false" outlineLevel="0" collapsed="false">
      <c r="A111" s="3"/>
      <c r="C111" s="4" t="str">
        <f aca="false">IF(B111="","",IFERROR(INDEX(Opportunities!$B:$B,MATCH(B111,Opportunities!$A:$A,0)),""))</f>
        <v/>
      </c>
    </row>
    <row r="112" customFormat="false" ht="15" hidden="false" customHeight="false" outlineLevel="0" collapsed="false">
      <c r="A112" s="3"/>
      <c r="C112" s="4" t="str">
        <f aca="false">IF(B112="","",IFERROR(INDEX(Opportunities!$B:$B,MATCH(B112,Opportunities!$A:$A,0)),""))</f>
        <v/>
      </c>
    </row>
    <row r="113" customFormat="false" ht="15" hidden="false" customHeight="false" outlineLevel="0" collapsed="false">
      <c r="A113" s="3"/>
      <c r="C113" s="4" t="str">
        <f aca="false">IF(B113="","",IFERROR(INDEX(Opportunities!$B:$B,MATCH(B113,Opportunities!$A:$A,0)),""))</f>
        <v/>
      </c>
    </row>
    <row r="114" customFormat="false" ht="15" hidden="false" customHeight="false" outlineLevel="0" collapsed="false">
      <c r="A114" s="3"/>
      <c r="C114" s="4" t="str">
        <f aca="false">IF(B114="","",IFERROR(INDEX(Opportunities!$B:$B,MATCH(B114,Opportunities!$A:$A,0)),""))</f>
        <v/>
      </c>
    </row>
    <row r="115" customFormat="false" ht="15" hidden="false" customHeight="false" outlineLevel="0" collapsed="false">
      <c r="A115" s="3"/>
      <c r="C115" s="4" t="str">
        <f aca="false">IF(B115="","",IFERROR(INDEX(Opportunities!$B:$B,MATCH(B115,Opportunities!$A:$A,0)),""))</f>
        <v/>
      </c>
    </row>
    <row r="116" customFormat="false" ht="15" hidden="false" customHeight="false" outlineLevel="0" collapsed="false">
      <c r="A116" s="3"/>
      <c r="C116" s="4" t="str">
        <f aca="false">IF(B116="","",IFERROR(INDEX(Opportunities!$B:$B,MATCH(B116,Opportunities!$A:$A,0)),""))</f>
        <v/>
      </c>
    </row>
    <row r="117" customFormat="false" ht="15" hidden="false" customHeight="false" outlineLevel="0" collapsed="false">
      <c r="A117" s="3"/>
      <c r="C117" s="4" t="str">
        <f aca="false">IF(B117="","",IFERROR(INDEX(Opportunities!$B:$B,MATCH(B117,Opportunities!$A:$A,0)),""))</f>
        <v/>
      </c>
    </row>
    <row r="118" customFormat="false" ht="15" hidden="false" customHeight="false" outlineLevel="0" collapsed="false">
      <c r="A118" s="3"/>
      <c r="C118" s="4" t="str">
        <f aca="false">IF(B118="","",IFERROR(INDEX(Opportunities!$B:$B,MATCH(B118,Opportunities!$A:$A,0)),""))</f>
        <v/>
      </c>
    </row>
    <row r="119" customFormat="false" ht="15" hidden="false" customHeight="false" outlineLevel="0" collapsed="false">
      <c r="A119" s="3"/>
      <c r="C119" s="4" t="str">
        <f aca="false">IF(B119="","",IFERROR(INDEX(Opportunities!$B:$B,MATCH(B119,Opportunities!$A:$A,0)),""))</f>
        <v/>
      </c>
    </row>
    <row r="120" customFormat="false" ht="15" hidden="false" customHeight="false" outlineLevel="0" collapsed="false">
      <c r="A120" s="3"/>
      <c r="C120" s="4" t="str">
        <f aca="false">IF(B120="","",IFERROR(INDEX(Opportunities!$B:$B,MATCH(B120,Opportunities!$A:$A,0)),""))</f>
        <v/>
      </c>
    </row>
    <row r="121" customFormat="false" ht="15" hidden="false" customHeight="false" outlineLevel="0" collapsed="false">
      <c r="A121" s="3"/>
      <c r="C121" s="4" t="str">
        <f aca="false">IF(B121="","",IFERROR(INDEX(Opportunities!$B:$B,MATCH(B121,Opportunities!$A:$A,0)),""))</f>
        <v/>
      </c>
    </row>
    <row r="122" customFormat="false" ht="15" hidden="false" customHeight="false" outlineLevel="0" collapsed="false">
      <c r="A122" s="3"/>
      <c r="C122" s="4" t="str">
        <f aca="false">IF(B122="","",IFERROR(INDEX(Opportunities!$B:$B,MATCH(B122,Opportunities!$A:$A,0)),""))</f>
        <v/>
      </c>
    </row>
    <row r="123" customFormat="false" ht="15" hidden="false" customHeight="false" outlineLevel="0" collapsed="false">
      <c r="A123" s="3"/>
      <c r="C123" s="4" t="str">
        <f aca="false">IF(B123="","",IFERROR(INDEX(Opportunities!$B:$B,MATCH(B123,Opportunities!$A:$A,0)),""))</f>
        <v/>
      </c>
    </row>
    <row r="124" customFormat="false" ht="15" hidden="false" customHeight="false" outlineLevel="0" collapsed="false">
      <c r="A124" s="3"/>
      <c r="C124" s="4" t="str">
        <f aca="false">IF(B124="","",IFERROR(INDEX(Opportunities!$B:$B,MATCH(B124,Opportunities!$A:$A,0)),""))</f>
        <v/>
      </c>
    </row>
    <row r="125" customFormat="false" ht="15" hidden="false" customHeight="false" outlineLevel="0" collapsed="false">
      <c r="A125" s="3"/>
      <c r="C125" s="4" t="str">
        <f aca="false">IF(B125="","",IFERROR(INDEX(Opportunities!$B:$B,MATCH(B125,Opportunities!$A:$A,0)),""))</f>
        <v/>
      </c>
    </row>
    <row r="126" customFormat="false" ht="15" hidden="false" customHeight="false" outlineLevel="0" collapsed="false">
      <c r="A126" s="3"/>
      <c r="C126" s="4" t="str">
        <f aca="false">IF(B126="","",IFERROR(INDEX(Opportunities!$B:$B,MATCH(B126,Opportunities!$A:$A,0)),""))</f>
        <v/>
      </c>
    </row>
    <row r="127" customFormat="false" ht="15" hidden="false" customHeight="false" outlineLevel="0" collapsed="false">
      <c r="A127" s="3"/>
      <c r="C127" s="4" t="str">
        <f aca="false">IF(B127="","",IFERROR(INDEX(Opportunities!$B:$B,MATCH(B127,Opportunities!$A:$A,0)),""))</f>
        <v/>
      </c>
    </row>
    <row r="128" customFormat="false" ht="15" hidden="false" customHeight="false" outlineLevel="0" collapsed="false">
      <c r="A128" s="3"/>
      <c r="C128" s="4" t="str">
        <f aca="false">IF(B128="","",IFERROR(INDEX(Opportunities!$B:$B,MATCH(B128,Opportunities!$A:$A,0)),""))</f>
        <v/>
      </c>
    </row>
    <row r="129" customFormat="false" ht="15" hidden="false" customHeight="false" outlineLevel="0" collapsed="false">
      <c r="A129" s="3"/>
      <c r="C129" s="4" t="str">
        <f aca="false">IF(B129="","",IFERROR(INDEX(Opportunities!$B:$B,MATCH(B129,Opportunities!$A:$A,0)),""))</f>
        <v/>
      </c>
    </row>
    <row r="130" customFormat="false" ht="15" hidden="false" customHeight="false" outlineLevel="0" collapsed="false">
      <c r="A130" s="3"/>
      <c r="C130" s="4" t="str">
        <f aca="false">IF(B130="","",IFERROR(INDEX(Opportunities!$B:$B,MATCH(B130,Opportunities!$A:$A,0)),""))</f>
        <v/>
      </c>
    </row>
    <row r="131" customFormat="false" ht="15" hidden="false" customHeight="false" outlineLevel="0" collapsed="false">
      <c r="A131" s="3"/>
      <c r="C131" s="4" t="str">
        <f aca="false">IF(B131="","",IFERROR(INDEX(Opportunities!$B:$B,MATCH(B131,Opportunities!$A:$A,0)),""))</f>
        <v/>
      </c>
    </row>
    <row r="132" customFormat="false" ht="15" hidden="false" customHeight="false" outlineLevel="0" collapsed="false">
      <c r="A132" s="3"/>
      <c r="C132" s="4" t="str">
        <f aca="false">IF(B132="","",IFERROR(INDEX(Opportunities!$B:$B,MATCH(B132,Opportunities!$A:$A,0)),""))</f>
        <v/>
      </c>
    </row>
    <row r="133" customFormat="false" ht="15" hidden="false" customHeight="false" outlineLevel="0" collapsed="false">
      <c r="A133" s="3"/>
      <c r="C133" s="4" t="str">
        <f aca="false">IF(B133="","",IFERROR(INDEX(Opportunities!$B:$B,MATCH(B133,Opportunities!$A:$A,0)),""))</f>
        <v/>
      </c>
    </row>
    <row r="134" customFormat="false" ht="15" hidden="false" customHeight="false" outlineLevel="0" collapsed="false">
      <c r="A134" s="3"/>
      <c r="C134" s="4" t="str">
        <f aca="false">IF(B134="","",IFERROR(INDEX(Opportunities!$B:$B,MATCH(B134,Opportunities!$A:$A,0)),""))</f>
        <v/>
      </c>
    </row>
    <row r="135" customFormat="false" ht="15" hidden="false" customHeight="false" outlineLevel="0" collapsed="false">
      <c r="A135" s="3"/>
      <c r="C135" s="4" t="str">
        <f aca="false">IF(B135="","",IFERROR(INDEX(Opportunities!$B:$B,MATCH(B135,Opportunities!$A:$A,0)),""))</f>
        <v/>
      </c>
    </row>
    <row r="136" customFormat="false" ht="15" hidden="false" customHeight="false" outlineLevel="0" collapsed="false">
      <c r="A136" s="3"/>
      <c r="C136" s="4" t="str">
        <f aca="false">IF(B136="","",IFERROR(INDEX(Opportunities!$B:$B,MATCH(B136,Opportunities!$A:$A,0)),""))</f>
        <v/>
      </c>
    </row>
    <row r="137" customFormat="false" ht="15" hidden="false" customHeight="false" outlineLevel="0" collapsed="false">
      <c r="A137" s="3"/>
      <c r="C137" s="4" t="str">
        <f aca="false">IF(B137="","",IFERROR(INDEX(Opportunities!$B:$B,MATCH(B137,Opportunities!$A:$A,0)),""))</f>
        <v/>
      </c>
    </row>
    <row r="138" customFormat="false" ht="15" hidden="false" customHeight="false" outlineLevel="0" collapsed="false">
      <c r="A138" s="3"/>
      <c r="C138" s="4" t="str">
        <f aca="false">IF(B138="","",IFERROR(INDEX(Opportunities!$B:$B,MATCH(B138,Opportunities!$A:$A,0)),""))</f>
        <v/>
      </c>
    </row>
    <row r="139" customFormat="false" ht="15" hidden="false" customHeight="false" outlineLevel="0" collapsed="false">
      <c r="A139" s="3"/>
      <c r="C139" s="4" t="str">
        <f aca="false">IF(B139="","",IFERROR(INDEX(Opportunities!$B:$B,MATCH(B139,Opportunities!$A:$A,0)),""))</f>
        <v/>
      </c>
    </row>
    <row r="140" customFormat="false" ht="15" hidden="false" customHeight="false" outlineLevel="0" collapsed="false">
      <c r="A140" s="3"/>
      <c r="C140" s="4" t="str">
        <f aca="false">IF(B140="","",IFERROR(INDEX(Opportunities!$B:$B,MATCH(B140,Opportunities!$A:$A,0)),""))</f>
        <v/>
      </c>
    </row>
    <row r="141" customFormat="false" ht="15" hidden="false" customHeight="false" outlineLevel="0" collapsed="false">
      <c r="A141" s="3"/>
      <c r="C141" s="4" t="str">
        <f aca="false">IF(B141="","",IFERROR(INDEX(Opportunities!$B:$B,MATCH(B141,Opportunities!$A:$A,0)),""))</f>
        <v/>
      </c>
    </row>
    <row r="142" customFormat="false" ht="15" hidden="false" customHeight="false" outlineLevel="0" collapsed="false">
      <c r="A142" s="3"/>
      <c r="C142" s="4" t="str">
        <f aca="false">IF(B142="","",IFERROR(INDEX(Opportunities!$B:$B,MATCH(B142,Opportunities!$A:$A,0)),""))</f>
        <v/>
      </c>
    </row>
    <row r="143" customFormat="false" ht="15" hidden="false" customHeight="false" outlineLevel="0" collapsed="false">
      <c r="A143" s="3"/>
      <c r="C143" s="4" t="str">
        <f aca="false">IF(B143="","",IFERROR(INDEX(Opportunities!$B:$B,MATCH(B143,Opportunities!$A:$A,0)),""))</f>
        <v/>
      </c>
    </row>
    <row r="144" customFormat="false" ht="15" hidden="false" customHeight="false" outlineLevel="0" collapsed="false">
      <c r="A144" s="3"/>
      <c r="C144" s="4" t="str">
        <f aca="false">IF(B144="","",IFERROR(INDEX(Opportunities!$B:$B,MATCH(B144,Opportunities!$A:$A,0)),""))</f>
        <v/>
      </c>
    </row>
    <row r="145" customFormat="false" ht="15" hidden="false" customHeight="false" outlineLevel="0" collapsed="false">
      <c r="A145" s="3"/>
      <c r="C145" s="4" t="str">
        <f aca="false">IF(B145="","",IFERROR(INDEX(Opportunities!$B:$B,MATCH(B145,Opportunities!$A:$A,0)),""))</f>
        <v/>
      </c>
    </row>
    <row r="146" customFormat="false" ht="15" hidden="false" customHeight="false" outlineLevel="0" collapsed="false">
      <c r="A146" s="3"/>
      <c r="C146" s="4" t="str">
        <f aca="false">IF(B146="","",IFERROR(INDEX(Opportunities!$B:$B,MATCH(B146,Opportunities!$A:$A,0)),""))</f>
        <v/>
      </c>
    </row>
    <row r="147" customFormat="false" ht="15" hidden="false" customHeight="false" outlineLevel="0" collapsed="false">
      <c r="A147" s="3"/>
      <c r="C147" s="4" t="str">
        <f aca="false">IF(B147="","",IFERROR(INDEX(Opportunities!$B:$B,MATCH(B147,Opportunities!$A:$A,0)),""))</f>
        <v/>
      </c>
    </row>
    <row r="148" customFormat="false" ht="15" hidden="false" customHeight="false" outlineLevel="0" collapsed="false">
      <c r="A148" s="3"/>
      <c r="C148" s="4" t="str">
        <f aca="false">IF(B148="","",IFERROR(INDEX(Opportunities!$B:$B,MATCH(B148,Opportunities!$A:$A,0)),""))</f>
        <v/>
      </c>
    </row>
    <row r="149" customFormat="false" ht="15" hidden="false" customHeight="false" outlineLevel="0" collapsed="false">
      <c r="A149" s="3"/>
      <c r="C149" s="4" t="str">
        <f aca="false">IF(B149="","",IFERROR(INDEX(Opportunities!$B:$B,MATCH(B149,Opportunities!$A:$A,0)),""))</f>
        <v/>
      </c>
    </row>
    <row r="150" customFormat="false" ht="15" hidden="false" customHeight="false" outlineLevel="0" collapsed="false">
      <c r="A150" s="3"/>
      <c r="C150" s="4" t="str">
        <f aca="false">IF(B150="","",IFERROR(INDEX(Opportunities!$B:$B,MATCH(B150,Opportunities!$A:$A,0)),""))</f>
        <v/>
      </c>
    </row>
    <row r="151" customFormat="false" ht="15" hidden="false" customHeight="false" outlineLevel="0" collapsed="false">
      <c r="A151" s="3"/>
      <c r="C151" s="4" t="str">
        <f aca="false">IF(B151="","",IFERROR(INDEX(Opportunities!$B:$B,MATCH(B151,Opportunities!$A:$A,0)),""))</f>
        <v/>
      </c>
    </row>
    <row r="152" customFormat="false" ht="15" hidden="false" customHeight="false" outlineLevel="0" collapsed="false">
      <c r="A152" s="3"/>
      <c r="C152" s="4" t="str">
        <f aca="false">IF(B152="","",IFERROR(INDEX(Opportunities!$B:$B,MATCH(B152,Opportunities!$A:$A,0)),""))</f>
        <v/>
      </c>
    </row>
    <row r="153" customFormat="false" ht="15" hidden="false" customHeight="false" outlineLevel="0" collapsed="false">
      <c r="A153" s="3"/>
      <c r="C153" s="4" t="str">
        <f aca="false">IF(B153="","",IFERROR(INDEX(Opportunities!$B:$B,MATCH(B153,Opportunities!$A:$A,0)),""))</f>
        <v/>
      </c>
    </row>
    <row r="154" customFormat="false" ht="15" hidden="false" customHeight="false" outlineLevel="0" collapsed="false">
      <c r="A154" s="3"/>
      <c r="C154" s="4" t="str">
        <f aca="false">IF(B154="","",IFERROR(INDEX(Opportunities!$B:$B,MATCH(B154,Opportunities!$A:$A,0)),""))</f>
        <v/>
      </c>
    </row>
    <row r="155" customFormat="false" ht="15" hidden="false" customHeight="false" outlineLevel="0" collapsed="false">
      <c r="A155" s="3"/>
      <c r="C155" s="4" t="str">
        <f aca="false">IF(B155="","",IFERROR(INDEX(Opportunities!$B:$B,MATCH(B155,Opportunities!$A:$A,0)),""))</f>
        <v/>
      </c>
    </row>
    <row r="156" customFormat="false" ht="15" hidden="false" customHeight="false" outlineLevel="0" collapsed="false">
      <c r="A156" s="3"/>
      <c r="C156" s="4" t="str">
        <f aca="false">IF(B156="","",IFERROR(INDEX(Opportunities!$B:$B,MATCH(B156,Opportunities!$A:$A,0)),""))</f>
        <v/>
      </c>
    </row>
    <row r="157" customFormat="false" ht="15" hidden="false" customHeight="false" outlineLevel="0" collapsed="false">
      <c r="A157" s="3"/>
      <c r="C157" s="4" t="str">
        <f aca="false">IF(B157="","",IFERROR(INDEX(Opportunities!$B:$B,MATCH(B157,Opportunities!$A:$A,0)),""))</f>
        <v/>
      </c>
    </row>
    <row r="158" customFormat="false" ht="15" hidden="false" customHeight="false" outlineLevel="0" collapsed="false">
      <c r="A158" s="3"/>
      <c r="C158" s="4" t="str">
        <f aca="false">IF(B158="","",IFERROR(INDEX(Opportunities!$B:$B,MATCH(B158,Opportunities!$A:$A,0)),""))</f>
        <v/>
      </c>
    </row>
    <row r="159" customFormat="false" ht="15" hidden="false" customHeight="false" outlineLevel="0" collapsed="false">
      <c r="A159" s="3"/>
      <c r="C159" s="4" t="str">
        <f aca="false">IF(B159="","",IFERROR(INDEX(Opportunities!$B:$B,MATCH(B159,Opportunities!$A:$A,0)),""))</f>
        <v/>
      </c>
    </row>
    <row r="160" customFormat="false" ht="15" hidden="false" customHeight="false" outlineLevel="0" collapsed="false">
      <c r="A160" s="3"/>
      <c r="C160" s="4" t="str">
        <f aca="false">IF(B160="","",IFERROR(INDEX(Opportunities!$B:$B,MATCH(B160,Opportunities!$A:$A,0)),""))</f>
        <v/>
      </c>
    </row>
    <row r="161" customFormat="false" ht="15" hidden="false" customHeight="false" outlineLevel="0" collapsed="false">
      <c r="A161" s="3"/>
      <c r="C161" s="4" t="str">
        <f aca="false">IF(B161="","",IFERROR(INDEX(Opportunities!$B:$B,MATCH(B161,Opportunities!$A:$A,0)),""))</f>
        <v/>
      </c>
    </row>
    <row r="162" customFormat="false" ht="15" hidden="false" customHeight="false" outlineLevel="0" collapsed="false">
      <c r="A162" s="3"/>
      <c r="C162" s="4" t="str">
        <f aca="false">IF(B162="","",IFERROR(INDEX(Opportunities!$B:$B,MATCH(B162,Opportunities!$A:$A,0)),""))</f>
        <v/>
      </c>
    </row>
    <row r="163" customFormat="false" ht="15" hidden="false" customHeight="false" outlineLevel="0" collapsed="false">
      <c r="A163" s="3"/>
      <c r="C163" s="4" t="str">
        <f aca="false">IF(B163="","",IFERROR(INDEX(Opportunities!$B:$B,MATCH(B163,Opportunities!$A:$A,0)),""))</f>
        <v/>
      </c>
    </row>
    <row r="164" customFormat="false" ht="15" hidden="false" customHeight="false" outlineLevel="0" collapsed="false">
      <c r="A164" s="3"/>
      <c r="C164" s="4" t="str">
        <f aca="false">IF(B164="","",IFERROR(INDEX(Opportunities!$B:$B,MATCH(B164,Opportunities!$A:$A,0)),""))</f>
        <v/>
      </c>
    </row>
    <row r="165" customFormat="false" ht="15" hidden="false" customHeight="false" outlineLevel="0" collapsed="false">
      <c r="A165" s="3"/>
      <c r="C165" s="4" t="str">
        <f aca="false">IF(B165="","",IFERROR(INDEX(Opportunities!$B:$B,MATCH(B165,Opportunities!$A:$A,0)),""))</f>
        <v/>
      </c>
    </row>
    <row r="166" customFormat="false" ht="15" hidden="false" customHeight="false" outlineLevel="0" collapsed="false">
      <c r="A166" s="3"/>
      <c r="C166" s="4" t="str">
        <f aca="false">IF(B166="","",IFERROR(INDEX(Opportunities!$B:$B,MATCH(B166,Opportunities!$A:$A,0)),""))</f>
        <v/>
      </c>
    </row>
    <row r="167" customFormat="false" ht="15" hidden="false" customHeight="false" outlineLevel="0" collapsed="false">
      <c r="A167" s="3"/>
      <c r="C167" s="4" t="str">
        <f aca="false">IF(B167="","",IFERROR(INDEX(Opportunities!$B:$B,MATCH(B167,Opportunities!$A:$A,0)),""))</f>
        <v/>
      </c>
    </row>
    <row r="168" customFormat="false" ht="15" hidden="false" customHeight="false" outlineLevel="0" collapsed="false">
      <c r="A168" s="3"/>
      <c r="C168" s="4" t="str">
        <f aca="false">IF(B168="","",IFERROR(INDEX(Opportunities!$B:$B,MATCH(B168,Opportunities!$A:$A,0)),""))</f>
        <v/>
      </c>
    </row>
    <row r="169" customFormat="false" ht="15" hidden="false" customHeight="false" outlineLevel="0" collapsed="false">
      <c r="A169" s="3"/>
      <c r="C169" s="4" t="str">
        <f aca="false">IF(B169="","",IFERROR(INDEX(Opportunities!$B:$B,MATCH(B169,Opportunities!$A:$A,0)),""))</f>
        <v/>
      </c>
    </row>
    <row r="170" customFormat="false" ht="15" hidden="false" customHeight="false" outlineLevel="0" collapsed="false">
      <c r="A170" s="3"/>
      <c r="C170" s="4" t="str">
        <f aca="false">IF(B170="","",IFERROR(INDEX(Opportunities!$B:$B,MATCH(B170,Opportunities!$A:$A,0)),""))</f>
        <v/>
      </c>
    </row>
    <row r="171" customFormat="false" ht="15" hidden="false" customHeight="false" outlineLevel="0" collapsed="false">
      <c r="A171" s="3"/>
      <c r="C171" s="4" t="str">
        <f aca="false">IF(B171="","",IFERROR(INDEX(Opportunities!$B:$B,MATCH(B171,Opportunities!$A:$A,0)),""))</f>
        <v/>
      </c>
    </row>
    <row r="172" customFormat="false" ht="15" hidden="false" customHeight="false" outlineLevel="0" collapsed="false">
      <c r="A172" s="3"/>
      <c r="C172" s="4" t="str">
        <f aca="false">IF(B172="","",IFERROR(INDEX(Opportunities!$B:$B,MATCH(B172,Opportunities!$A:$A,0)),""))</f>
        <v/>
      </c>
    </row>
    <row r="173" customFormat="false" ht="15" hidden="false" customHeight="false" outlineLevel="0" collapsed="false">
      <c r="A173" s="3"/>
      <c r="C173" s="4" t="str">
        <f aca="false">IF(B173="","",IFERROR(INDEX(Opportunities!$B:$B,MATCH(B173,Opportunities!$A:$A,0)),""))</f>
        <v/>
      </c>
    </row>
    <row r="174" customFormat="false" ht="15" hidden="false" customHeight="false" outlineLevel="0" collapsed="false">
      <c r="A174" s="3"/>
      <c r="C174" s="4" t="str">
        <f aca="false">IF(B174="","",IFERROR(INDEX(Opportunities!$B:$B,MATCH(B174,Opportunities!$A:$A,0)),""))</f>
        <v/>
      </c>
    </row>
    <row r="175" customFormat="false" ht="15" hidden="false" customHeight="false" outlineLevel="0" collapsed="false">
      <c r="A175" s="3"/>
      <c r="C175" s="4" t="str">
        <f aca="false">IF(B175="","",IFERROR(INDEX(Opportunities!$B:$B,MATCH(B175,Opportunities!$A:$A,0)),""))</f>
        <v/>
      </c>
    </row>
    <row r="176" customFormat="false" ht="15" hidden="false" customHeight="false" outlineLevel="0" collapsed="false">
      <c r="A176" s="3"/>
      <c r="C176" s="4" t="str">
        <f aca="false">IF(B176="","",IFERROR(INDEX(Opportunities!$B:$B,MATCH(B176,Opportunities!$A:$A,0)),""))</f>
        <v/>
      </c>
    </row>
    <row r="177" customFormat="false" ht="15" hidden="false" customHeight="false" outlineLevel="0" collapsed="false">
      <c r="A177" s="3"/>
      <c r="C177" s="4" t="str">
        <f aca="false">IF(B177="","",IFERROR(INDEX(Opportunities!$B:$B,MATCH(B177,Opportunities!$A:$A,0)),""))</f>
        <v/>
      </c>
    </row>
    <row r="178" customFormat="false" ht="15" hidden="false" customHeight="false" outlineLevel="0" collapsed="false">
      <c r="A178" s="3"/>
      <c r="C178" s="4" t="str">
        <f aca="false">IF(B178="","",IFERROR(INDEX(Opportunities!$B:$B,MATCH(B178,Opportunities!$A:$A,0)),""))</f>
        <v/>
      </c>
    </row>
    <row r="179" customFormat="false" ht="15" hidden="false" customHeight="false" outlineLevel="0" collapsed="false">
      <c r="A179" s="3"/>
      <c r="C179" s="4" t="str">
        <f aca="false">IF(B179="","",IFERROR(INDEX(Opportunities!$B:$B,MATCH(B179,Opportunities!$A:$A,0)),""))</f>
        <v/>
      </c>
    </row>
    <row r="180" customFormat="false" ht="15" hidden="false" customHeight="false" outlineLevel="0" collapsed="false">
      <c r="A180" s="3"/>
      <c r="C180" s="4" t="str">
        <f aca="false">IF(B180="","",IFERROR(INDEX(Opportunities!$B:$B,MATCH(B180,Opportunities!$A:$A,0)),""))</f>
        <v/>
      </c>
    </row>
    <row r="181" customFormat="false" ht="15" hidden="false" customHeight="false" outlineLevel="0" collapsed="false">
      <c r="A181" s="3"/>
      <c r="C181" s="4" t="str">
        <f aca="false">IF(B181="","",IFERROR(INDEX(Opportunities!$B:$B,MATCH(B181,Opportunities!$A:$A,0)),""))</f>
        <v/>
      </c>
    </row>
    <row r="182" customFormat="false" ht="15" hidden="false" customHeight="false" outlineLevel="0" collapsed="false">
      <c r="A182" s="3"/>
      <c r="C182" s="4" t="str">
        <f aca="false">IF(B182="","",IFERROR(INDEX(Opportunities!$B:$B,MATCH(B182,Opportunities!$A:$A,0)),""))</f>
        <v/>
      </c>
    </row>
    <row r="183" customFormat="false" ht="15" hidden="false" customHeight="false" outlineLevel="0" collapsed="false">
      <c r="A183" s="3"/>
      <c r="C183" s="4" t="str">
        <f aca="false">IF(B183="","",IFERROR(INDEX(Opportunities!$B:$B,MATCH(B183,Opportunities!$A:$A,0)),""))</f>
        <v/>
      </c>
    </row>
    <row r="184" customFormat="false" ht="15" hidden="false" customHeight="false" outlineLevel="0" collapsed="false">
      <c r="A184" s="3"/>
      <c r="C184" s="4" t="str">
        <f aca="false">IF(B184="","",IFERROR(INDEX(Opportunities!$B:$B,MATCH(B184,Opportunities!$A:$A,0)),""))</f>
        <v/>
      </c>
    </row>
    <row r="185" customFormat="false" ht="15" hidden="false" customHeight="false" outlineLevel="0" collapsed="false">
      <c r="A185" s="3"/>
      <c r="C185" s="4" t="str">
        <f aca="false">IF(B185="","",IFERROR(INDEX(Opportunities!$B:$B,MATCH(B185,Opportunities!$A:$A,0)),""))</f>
        <v/>
      </c>
    </row>
    <row r="186" customFormat="false" ht="15" hidden="false" customHeight="false" outlineLevel="0" collapsed="false">
      <c r="A186" s="3"/>
      <c r="C186" s="4" t="str">
        <f aca="false">IF(B186="","",IFERROR(INDEX(Opportunities!$B:$B,MATCH(B186,Opportunities!$A:$A,0)),""))</f>
        <v/>
      </c>
    </row>
    <row r="187" customFormat="false" ht="15" hidden="false" customHeight="false" outlineLevel="0" collapsed="false">
      <c r="A187" s="3"/>
      <c r="C187" s="4" t="str">
        <f aca="false">IF(B187="","",IFERROR(INDEX(Opportunities!$B:$B,MATCH(B187,Opportunities!$A:$A,0)),""))</f>
        <v/>
      </c>
    </row>
    <row r="188" customFormat="false" ht="15" hidden="false" customHeight="false" outlineLevel="0" collapsed="false">
      <c r="A188" s="3"/>
      <c r="C188" s="4" t="str">
        <f aca="false">IF(B188="","",IFERROR(INDEX(Opportunities!$B:$B,MATCH(B188,Opportunities!$A:$A,0)),""))</f>
        <v/>
      </c>
    </row>
    <row r="189" customFormat="false" ht="15" hidden="false" customHeight="false" outlineLevel="0" collapsed="false">
      <c r="A189" s="3"/>
      <c r="C189" s="4" t="str">
        <f aca="false">IF(B189="","",IFERROR(INDEX(Opportunities!$B:$B,MATCH(B189,Opportunities!$A:$A,0)),""))</f>
        <v/>
      </c>
    </row>
    <row r="190" customFormat="false" ht="15" hidden="false" customHeight="false" outlineLevel="0" collapsed="false">
      <c r="A190" s="3"/>
      <c r="C190" s="4" t="str">
        <f aca="false">IF(B190="","",IFERROR(INDEX(Opportunities!$B:$B,MATCH(B190,Opportunities!$A:$A,0)),""))</f>
        <v/>
      </c>
    </row>
    <row r="191" customFormat="false" ht="15" hidden="false" customHeight="false" outlineLevel="0" collapsed="false">
      <c r="A191" s="3"/>
      <c r="C191" s="4" t="str">
        <f aca="false">IF(B191="","",IFERROR(INDEX(Opportunities!$B:$B,MATCH(B191,Opportunities!$A:$A,0)),""))</f>
        <v/>
      </c>
    </row>
    <row r="192" customFormat="false" ht="15" hidden="false" customHeight="false" outlineLevel="0" collapsed="false">
      <c r="A192" s="3"/>
      <c r="C192" s="4" t="str">
        <f aca="false">IF(B192="","",IFERROR(INDEX(Opportunities!$B:$B,MATCH(B192,Opportunities!$A:$A,0)),""))</f>
        <v/>
      </c>
    </row>
    <row r="193" customFormat="false" ht="15" hidden="false" customHeight="false" outlineLevel="0" collapsed="false">
      <c r="A193" s="3"/>
      <c r="C193" s="4" t="str">
        <f aca="false">IF(B193="","",IFERROR(INDEX(Opportunities!$B:$B,MATCH(B193,Opportunities!$A:$A,0)),""))</f>
        <v/>
      </c>
    </row>
    <row r="194" customFormat="false" ht="15" hidden="false" customHeight="false" outlineLevel="0" collapsed="false">
      <c r="A194" s="3"/>
      <c r="C194" s="4" t="str">
        <f aca="false">IF(B194="","",IFERROR(INDEX(Opportunities!$B:$B,MATCH(B194,Opportunities!$A:$A,0)),""))</f>
        <v/>
      </c>
    </row>
    <row r="195" customFormat="false" ht="15" hidden="false" customHeight="false" outlineLevel="0" collapsed="false">
      <c r="A195" s="3"/>
      <c r="C195" s="4" t="str">
        <f aca="false">IF(B195="","",IFERROR(INDEX(Opportunities!$B:$B,MATCH(B195,Opportunities!$A:$A,0)),""))</f>
        <v/>
      </c>
    </row>
    <row r="196" customFormat="false" ht="15" hidden="false" customHeight="false" outlineLevel="0" collapsed="false">
      <c r="A196" s="3"/>
      <c r="C196" s="4" t="str">
        <f aca="false">IF(B196="","",IFERROR(INDEX(Opportunities!$B:$B,MATCH(B196,Opportunities!$A:$A,0)),""))</f>
        <v/>
      </c>
    </row>
    <row r="197" customFormat="false" ht="15" hidden="false" customHeight="false" outlineLevel="0" collapsed="false">
      <c r="A197" s="3"/>
      <c r="C197" s="4" t="str">
        <f aca="false">IF(B197="","",IFERROR(INDEX(Opportunities!$B:$B,MATCH(B197,Opportunities!$A:$A,0)),""))</f>
        <v/>
      </c>
    </row>
    <row r="198" customFormat="false" ht="15" hidden="false" customHeight="false" outlineLevel="0" collapsed="false">
      <c r="A198" s="3"/>
      <c r="C198" s="4" t="str">
        <f aca="false">IF(B198="","",IFERROR(INDEX(Opportunities!$B:$B,MATCH(B198,Opportunities!$A:$A,0)),""))</f>
        <v/>
      </c>
    </row>
    <row r="199" customFormat="false" ht="15" hidden="false" customHeight="false" outlineLevel="0" collapsed="false">
      <c r="A199" s="3"/>
      <c r="C199" s="4" t="str">
        <f aca="false">IF(B199="","",IFERROR(INDEX(Opportunities!$B:$B,MATCH(B199,Opportunities!$A:$A,0)),""))</f>
        <v/>
      </c>
    </row>
    <row r="200" customFormat="false" ht="15" hidden="false" customHeight="false" outlineLevel="0" collapsed="false">
      <c r="A200" s="3"/>
      <c r="C200" s="4" t="str">
        <f aca="false">IF(B200="","",IFERROR(INDEX(Opportunities!$B:$B,MATCH(B200,Opportunities!$A:$A,0)),""))</f>
        <v/>
      </c>
    </row>
    <row r="201" customFormat="false" ht="15" hidden="false" customHeight="false" outlineLevel="0" collapsed="false">
      <c r="A201" s="3"/>
      <c r="C201" s="4" t="str">
        <f aca="false">IF(B201="","",IFERROR(INDEX(Opportunities!$B:$B,MATCH(B201,Opportunities!$A:$A,0)),""))</f>
        <v/>
      </c>
    </row>
    <row r="202" customFormat="false" ht="15" hidden="false" customHeight="false" outlineLevel="0" collapsed="false">
      <c r="A202" s="3"/>
      <c r="C202" s="4" t="str">
        <f aca="false">IF(B202="","",IFERROR(INDEX(Opportunities!$B:$B,MATCH(B202,Opportunities!$A:$A,0)),""))</f>
        <v/>
      </c>
    </row>
    <row r="203" customFormat="false" ht="15" hidden="false" customHeight="false" outlineLevel="0" collapsed="false">
      <c r="A203" s="3"/>
      <c r="C203" s="4" t="str">
        <f aca="false">IF(B203="","",IFERROR(INDEX(Opportunities!$B:$B,MATCH(B203,Opportunities!$A:$A,0)),""))</f>
        <v/>
      </c>
    </row>
    <row r="204" customFormat="false" ht="15" hidden="false" customHeight="false" outlineLevel="0" collapsed="false">
      <c r="A204" s="3"/>
      <c r="C204" s="4" t="str">
        <f aca="false">IF(B204="","",IFERROR(INDEX(Opportunities!$B:$B,MATCH(B204,Opportunities!$A:$A,0)),""))</f>
        <v/>
      </c>
    </row>
    <row r="205" customFormat="false" ht="15" hidden="false" customHeight="false" outlineLevel="0" collapsed="false">
      <c r="A205" s="3"/>
      <c r="C205" s="4" t="str">
        <f aca="false">IF(B205="","",IFERROR(INDEX(Opportunities!$B:$B,MATCH(B205,Opportunities!$A:$A,0)),""))</f>
        <v/>
      </c>
    </row>
    <row r="206" customFormat="false" ht="15" hidden="false" customHeight="false" outlineLevel="0" collapsed="false">
      <c r="A206" s="3"/>
      <c r="C206" s="4" t="str">
        <f aca="false">IF(B206="","",IFERROR(INDEX(Opportunities!$B:$B,MATCH(B206,Opportunities!$A:$A,0)),""))</f>
        <v/>
      </c>
    </row>
    <row r="207" customFormat="false" ht="15" hidden="false" customHeight="false" outlineLevel="0" collapsed="false">
      <c r="A207" s="3"/>
      <c r="C207" s="4" t="str">
        <f aca="false">IF(B207="","",IFERROR(INDEX(Opportunities!$B:$B,MATCH(B207,Opportunities!$A:$A,0)),""))</f>
        <v/>
      </c>
    </row>
    <row r="208" customFormat="false" ht="15" hidden="false" customHeight="false" outlineLevel="0" collapsed="false">
      <c r="A208" s="3"/>
      <c r="C208" s="4" t="str">
        <f aca="false">IF(B208="","",IFERROR(INDEX(Opportunities!$B:$B,MATCH(B208,Opportunities!$A:$A,0)),""))</f>
        <v/>
      </c>
    </row>
    <row r="209" customFormat="false" ht="15" hidden="false" customHeight="false" outlineLevel="0" collapsed="false">
      <c r="A209" s="3"/>
      <c r="C209" s="4" t="str">
        <f aca="false">IF(B209="","",IFERROR(INDEX(Opportunities!$B:$B,MATCH(B209,Opportunities!$A:$A,0)),""))</f>
        <v/>
      </c>
    </row>
    <row r="210" customFormat="false" ht="15" hidden="false" customHeight="false" outlineLevel="0" collapsed="false">
      <c r="A210" s="3"/>
      <c r="C210" s="4" t="str">
        <f aca="false">IF(B210="","",IFERROR(INDEX(Opportunities!$B:$B,MATCH(B210,Opportunities!$A:$A,0)),""))</f>
        <v/>
      </c>
    </row>
    <row r="211" customFormat="false" ht="15" hidden="false" customHeight="false" outlineLevel="0" collapsed="false">
      <c r="A211" s="3"/>
      <c r="C211" s="4" t="str">
        <f aca="false">IF(B211="","",IFERROR(INDEX(Opportunities!$B:$B,MATCH(B211,Opportunities!$A:$A,0)),""))</f>
        <v/>
      </c>
    </row>
    <row r="212" customFormat="false" ht="15" hidden="false" customHeight="false" outlineLevel="0" collapsed="false">
      <c r="A212" s="3"/>
      <c r="C212" s="4" t="str">
        <f aca="false">IF(B212="","",IFERROR(INDEX(Opportunities!$B:$B,MATCH(B212,Opportunities!$A:$A,0)),""))</f>
        <v/>
      </c>
    </row>
    <row r="213" customFormat="false" ht="15" hidden="false" customHeight="false" outlineLevel="0" collapsed="false">
      <c r="A213" s="3"/>
      <c r="C213" s="4" t="str">
        <f aca="false">IF(B213="","",IFERROR(INDEX(Opportunities!$B:$B,MATCH(B213,Opportunities!$A:$A,0)),""))</f>
        <v/>
      </c>
    </row>
    <row r="214" customFormat="false" ht="15" hidden="false" customHeight="false" outlineLevel="0" collapsed="false">
      <c r="A214" s="3"/>
      <c r="C214" s="4" t="str">
        <f aca="false">IF(B214="","",IFERROR(INDEX(Opportunities!$B:$B,MATCH(B214,Opportunities!$A:$A,0)),""))</f>
        <v/>
      </c>
    </row>
    <row r="215" customFormat="false" ht="15" hidden="false" customHeight="false" outlineLevel="0" collapsed="false">
      <c r="A215" s="3"/>
      <c r="C215" s="4" t="str">
        <f aca="false">IF(B215="","",IFERROR(INDEX(Opportunities!$B:$B,MATCH(B215,Opportunities!$A:$A,0)),""))</f>
        <v/>
      </c>
    </row>
    <row r="216" customFormat="false" ht="15" hidden="false" customHeight="false" outlineLevel="0" collapsed="false">
      <c r="A216" s="3"/>
      <c r="C216" s="4" t="str">
        <f aca="false">IF(B216="","",IFERROR(INDEX(Opportunities!$B:$B,MATCH(B216,Opportunities!$A:$A,0)),""))</f>
        <v/>
      </c>
    </row>
    <row r="217" customFormat="false" ht="15" hidden="false" customHeight="false" outlineLevel="0" collapsed="false">
      <c r="A217" s="3"/>
      <c r="C217" s="4" t="str">
        <f aca="false">IF(B217="","",IFERROR(INDEX(Opportunities!$B:$B,MATCH(B217,Opportunities!$A:$A,0)),""))</f>
        <v/>
      </c>
    </row>
    <row r="218" customFormat="false" ht="15" hidden="false" customHeight="false" outlineLevel="0" collapsed="false">
      <c r="A218" s="3"/>
      <c r="C218" s="4" t="str">
        <f aca="false">IF(B218="","",IFERROR(INDEX(Opportunities!$B:$B,MATCH(B218,Opportunities!$A:$A,0)),""))</f>
        <v/>
      </c>
    </row>
    <row r="219" customFormat="false" ht="15" hidden="false" customHeight="false" outlineLevel="0" collapsed="false">
      <c r="A219" s="3"/>
      <c r="C219" s="4" t="str">
        <f aca="false">IF(B219="","",IFERROR(INDEX(Opportunities!$B:$B,MATCH(B219,Opportunities!$A:$A,0)),""))</f>
        <v/>
      </c>
    </row>
    <row r="220" customFormat="false" ht="15" hidden="false" customHeight="false" outlineLevel="0" collapsed="false">
      <c r="A220" s="3"/>
      <c r="C220" s="4" t="str">
        <f aca="false">IF(B220="","",IFERROR(INDEX(Opportunities!$B:$B,MATCH(B220,Opportunities!$A:$A,0)),""))</f>
        <v/>
      </c>
    </row>
    <row r="221" customFormat="false" ht="15" hidden="false" customHeight="false" outlineLevel="0" collapsed="false">
      <c r="A221" s="3"/>
      <c r="C221" s="4" t="str">
        <f aca="false">IF(B221="","",IFERROR(INDEX(Opportunities!$B:$B,MATCH(B221,Opportunities!$A:$A,0)),""))</f>
        <v/>
      </c>
    </row>
    <row r="222" customFormat="false" ht="15" hidden="false" customHeight="false" outlineLevel="0" collapsed="false">
      <c r="A222" s="3"/>
      <c r="C222" s="4" t="str">
        <f aca="false">IF(B222="","",IFERROR(INDEX(Opportunities!$B:$B,MATCH(B222,Opportunities!$A:$A,0)),""))</f>
        <v/>
      </c>
    </row>
    <row r="223" customFormat="false" ht="15" hidden="false" customHeight="false" outlineLevel="0" collapsed="false">
      <c r="A223" s="3"/>
      <c r="C223" s="4" t="str">
        <f aca="false">IF(B223="","",IFERROR(INDEX(Opportunities!$B:$B,MATCH(B223,Opportunities!$A:$A,0)),""))</f>
        <v/>
      </c>
    </row>
    <row r="224" customFormat="false" ht="15" hidden="false" customHeight="false" outlineLevel="0" collapsed="false">
      <c r="A224" s="3"/>
      <c r="C224" s="4" t="str">
        <f aca="false">IF(B224="","",IFERROR(INDEX(Opportunities!$B:$B,MATCH(B224,Opportunities!$A:$A,0)),""))</f>
        <v/>
      </c>
    </row>
    <row r="225" customFormat="false" ht="15" hidden="false" customHeight="false" outlineLevel="0" collapsed="false">
      <c r="A225" s="3"/>
      <c r="C225" s="4" t="str">
        <f aca="false">IF(B225="","",IFERROR(INDEX(Opportunities!$B:$B,MATCH(B225,Opportunities!$A:$A,0)),""))</f>
        <v/>
      </c>
    </row>
    <row r="226" customFormat="false" ht="15" hidden="false" customHeight="false" outlineLevel="0" collapsed="false">
      <c r="A226" s="3"/>
      <c r="C226" s="4" t="str">
        <f aca="false">IF(B226="","",IFERROR(INDEX(Opportunities!$B:$B,MATCH(B226,Opportunities!$A:$A,0)),""))</f>
        <v/>
      </c>
    </row>
    <row r="227" customFormat="false" ht="15" hidden="false" customHeight="false" outlineLevel="0" collapsed="false">
      <c r="A227" s="3"/>
      <c r="C227" s="4" t="str">
        <f aca="false">IF(B227="","",IFERROR(INDEX(Opportunities!$B:$B,MATCH(B227,Opportunities!$A:$A,0)),""))</f>
        <v/>
      </c>
    </row>
    <row r="228" customFormat="false" ht="15" hidden="false" customHeight="false" outlineLevel="0" collapsed="false">
      <c r="A228" s="3"/>
      <c r="C228" s="4" t="str">
        <f aca="false">IF(B228="","",IFERROR(INDEX(Opportunities!$B:$B,MATCH(B228,Opportunities!$A:$A,0)),""))</f>
        <v/>
      </c>
    </row>
    <row r="229" customFormat="false" ht="15" hidden="false" customHeight="false" outlineLevel="0" collapsed="false">
      <c r="A229" s="3"/>
      <c r="C229" s="4" t="str">
        <f aca="false">IF(B229="","",IFERROR(INDEX(Opportunities!$B:$B,MATCH(B229,Opportunities!$A:$A,0)),""))</f>
        <v/>
      </c>
    </row>
    <row r="230" customFormat="false" ht="15" hidden="false" customHeight="false" outlineLevel="0" collapsed="false">
      <c r="A230" s="3"/>
      <c r="C230" s="4" t="str">
        <f aca="false">IF(B230="","",IFERROR(INDEX(Opportunities!$B:$B,MATCH(B230,Opportunities!$A:$A,0)),""))</f>
        <v/>
      </c>
    </row>
    <row r="231" customFormat="false" ht="15" hidden="false" customHeight="false" outlineLevel="0" collapsed="false">
      <c r="A231" s="3"/>
      <c r="C231" s="4" t="str">
        <f aca="false">IF(B231="","",IFERROR(INDEX(Opportunities!$B:$B,MATCH(B231,Opportunities!$A:$A,0)),""))</f>
        <v/>
      </c>
    </row>
    <row r="232" customFormat="false" ht="15" hidden="false" customHeight="false" outlineLevel="0" collapsed="false">
      <c r="A232" s="3"/>
      <c r="C232" s="4" t="str">
        <f aca="false">IF(B232="","",IFERROR(INDEX(Opportunities!$B:$B,MATCH(B232,Opportunities!$A:$A,0)),""))</f>
        <v/>
      </c>
    </row>
    <row r="233" customFormat="false" ht="15" hidden="false" customHeight="false" outlineLevel="0" collapsed="false">
      <c r="A233" s="3"/>
      <c r="C233" s="4" t="str">
        <f aca="false">IF(B233="","",IFERROR(INDEX(Opportunities!$B:$B,MATCH(B233,Opportunities!$A:$A,0)),""))</f>
        <v/>
      </c>
    </row>
    <row r="234" customFormat="false" ht="15" hidden="false" customHeight="false" outlineLevel="0" collapsed="false">
      <c r="A234" s="3"/>
      <c r="C234" s="4" t="str">
        <f aca="false">IF(B234="","",IFERROR(INDEX(Opportunities!$B:$B,MATCH(B234,Opportunities!$A:$A,0)),""))</f>
        <v/>
      </c>
    </row>
    <row r="235" customFormat="false" ht="15" hidden="false" customHeight="false" outlineLevel="0" collapsed="false">
      <c r="A235" s="3"/>
      <c r="C235" s="4" t="str">
        <f aca="false">IF(B235="","",IFERROR(INDEX(Opportunities!$B:$B,MATCH(B235,Opportunities!$A:$A,0)),""))</f>
        <v/>
      </c>
    </row>
    <row r="236" customFormat="false" ht="15" hidden="false" customHeight="false" outlineLevel="0" collapsed="false">
      <c r="A236" s="3"/>
      <c r="C236" s="4" t="str">
        <f aca="false">IF(B236="","",IFERROR(INDEX(Opportunities!$B:$B,MATCH(B236,Opportunities!$A:$A,0)),""))</f>
        <v/>
      </c>
    </row>
    <row r="237" customFormat="false" ht="15" hidden="false" customHeight="false" outlineLevel="0" collapsed="false">
      <c r="A237" s="3"/>
      <c r="C237" s="4" t="str">
        <f aca="false">IF(B237="","",IFERROR(INDEX(Opportunities!$B:$B,MATCH(B237,Opportunities!$A:$A,0)),""))</f>
        <v/>
      </c>
    </row>
    <row r="238" customFormat="false" ht="15" hidden="false" customHeight="false" outlineLevel="0" collapsed="false">
      <c r="A238" s="3"/>
      <c r="C238" s="4" t="str">
        <f aca="false">IF(B238="","",IFERROR(INDEX(Opportunities!$B:$B,MATCH(B238,Opportunities!$A:$A,0)),""))</f>
        <v/>
      </c>
    </row>
    <row r="239" customFormat="false" ht="15" hidden="false" customHeight="false" outlineLevel="0" collapsed="false">
      <c r="A239" s="3"/>
      <c r="C239" s="4" t="str">
        <f aca="false">IF(B239="","",IFERROR(INDEX(Opportunities!$B:$B,MATCH(B239,Opportunities!$A:$A,0)),""))</f>
        <v/>
      </c>
    </row>
    <row r="240" customFormat="false" ht="15" hidden="false" customHeight="false" outlineLevel="0" collapsed="false">
      <c r="A240" s="3"/>
      <c r="C240" s="4" t="str">
        <f aca="false">IF(B240="","",IFERROR(INDEX(Opportunities!$B:$B,MATCH(B240,Opportunities!$A:$A,0)),""))</f>
        <v/>
      </c>
    </row>
    <row r="241" customFormat="false" ht="15" hidden="false" customHeight="false" outlineLevel="0" collapsed="false">
      <c r="A241" s="3"/>
      <c r="C241" s="4" t="str">
        <f aca="false">IF(B241="","",IFERROR(INDEX(Opportunities!$B:$B,MATCH(B241,Opportunities!$A:$A,0)),""))</f>
        <v/>
      </c>
    </row>
    <row r="242" customFormat="false" ht="15" hidden="false" customHeight="false" outlineLevel="0" collapsed="false">
      <c r="A242" s="3"/>
      <c r="C242" s="4" t="str">
        <f aca="false">IF(B242="","",IFERROR(INDEX(Opportunities!$B:$B,MATCH(B242,Opportunities!$A:$A,0)),""))</f>
        <v/>
      </c>
    </row>
    <row r="243" customFormat="false" ht="15" hidden="false" customHeight="false" outlineLevel="0" collapsed="false">
      <c r="A243" s="3"/>
      <c r="C243" s="4" t="str">
        <f aca="false">IF(B243="","",IFERROR(INDEX(Opportunities!$B:$B,MATCH(B243,Opportunities!$A:$A,0)),""))</f>
        <v/>
      </c>
    </row>
    <row r="244" customFormat="false" ht="15" hidden="false" customHeight="false" outlineLevel="0" collapsed="false">
      <c r="A244" s="3"/>
      <c r="C244" s="4" t="str">
        <f aca="false">IF(B244="","",IFERROR(INDEX(Opportunities!$B:$B,MATCH(B244,Opportunities!$A:$A,0)),""))</f>
        <v/>
      </c>
    </row>
    <row r="245" customFormat="false" ht="15" hidden="false" customHeight="false" outlineLevel="0" collapsed="false">
      <c r="A245" s="3"/>
      <c r="C245" s="4" t="str">
        <f aca="false">IF(B245="","",IFERROR(INDEX(Opportunities!$B:$B,MATCH(B245,Opportunities!$A:$A,0)),""))</f>
        <v/>
      </c>
    </row>
    <row r="246" customFormat="false" ht="15" hidden="false" customHeight="false" outlineLevel="0" collapsed="false">
      <c r="A246" s="3"/>
      <c r="C246" s="4" t="str">
        <f aca="false">IF(B246="","",IFERROR(INDEX(Opportunities!$B:$B,MATCH(B246,Opportunities!$A:$A,0)),""))</f>
        <v/>
      </c>
    </row>
    <row r="247" customFormat="false" ht="15" hidden="false" customHeight="false" outlineLevel="0" collapsed="false">
      <c r="A247" s="3"/>
      <c r="C247" s="4" t="str">
        <f aca="false">IF(B247="","",IFERROR(INDEX(Opportunities!$B:$B,MATCH(B247,Opportunities!$A:$A,0)),""))</f>
        <v/>
      </c>
    </row>
    <row r="248" customFormat="false" ht="15" hidden="false" customHeight="false" outlineLevel="0" collapsed="false">
      <c r="A248" s="3"/>
      <c r="C248" s="4" t="str">
        <f aca="false">IF(B248="","",IFERROR(INDEX(Opportunities!$B:$B,MATCH(B248,Opportunities!$A:$A,0)),""))</f>
        <v/>
      </c>
    </row>
    <row r="249" customFormat="false" ht="15" hidden="false" customHeight="false" outlineLevel="0" collapsed="false">
      <c r="A249" s="3"/>
      <c r="C249" s="4" t="str">
        <f aca="false">IF(B249="","",IFERROR(INDEX(Opportunities!$B:$B,MATCH(B249,Opportunities!$A:$A,0)),""))</f>
        <v/>
      </c>
    </row>
    <row r="250" customFormat="false" ht="15" hidden="false" customHeight="false" outlineLevel="0" collapsed="false">
      <c r="A250" s="3"/>
      <c r="C250" s="4" t="str">
        <f aca="false">IF(B250="","",IFERROR(INDEX(Opportunities!$B:$B,MATCH(B250,Opportunities!$A:$A,0)),""))</f>
        <v/>
      </c>
    </row>
    <row r="251" customFormat="false" ht="15" hidden="false" customHeight="false" outlineLevel="0" collapsed="false">
      <c r="A251" s="3"/>
      <c r="C251" s="4" t="str">
        <f aca="false">IF(B251="","",IFERROR(INDEX(Opportunities!$B:$B,MATCH(B251,Opportunities!$A:$A,0)),""))</f>
        <v/>
      </c>
    </row>
    <row r="252" customFormat="false" ht="15" hidden="false" customHeight="false" outlineLevel="0" collapsed="false">
      <c r="A252" s="3"/>
      <c r="C252" s="4" t="str">
        <f aca="false">IF(B252="","",IFERROR(INDEX(Opportunities!$B:$B,MATCH(B252,Opportunities!$A:$A,0)),""))</f>
        <v/>
      </c>
    </row>
    <row r="253" customFormat="false" ht="15" hidden="false" customHeight="false" outlineLevel="0" collapsed="false">
      <c r="A253" s="3"/>
      <c r="C253" s="4" t="str">
        <f aca="false">IF(B253="","",IFERROR(INDEX(Opportunities!$B:$B,MATCH(B253,Opportunities!$A:$A,0)),""))</f>
        <v/>
      </c>
    </row>
    <row r="254" customFormat="false" ht="15" hidden="false" customHeight="false" outlineLevel="0" collapsed="false">
      <c r="A254" s="3"/>
      <c r="C254" s="4" t="str">
        <f aca="false">IF(B254="","",IFERROR(INDEX(Opportunities!$B:$B,MATCH(B254,Opportunities!$A:$A,0)),""))</f>
        <v/>
      </c>
    </row>
    <row r="255" customFormat="false" ht="15" hidden="false" customHeight="false" outlineLevel="0" collapsed="false">
      <c r="A255" s="3"/>
      <c r="C255" s="4" t="str">
        <f aca="false">IF(B255="","",IFERROR(INDEX(Opportunities!$B:$B,MATCH(B255,Opportunities!$A:$A,0)),""))</f>
        <v/>
      </c>
    </row>
    <row r="256" customFormat="false" ht="15" hidden="false" customHeight="false" outlineLevel="0" collapsed="false">
      <c r="A256" s="3"/>
      <c r="C256" s="4" t="str">
        <f aca="false">IF(B256="","",IFERROR(INDEX(Opportunities!$B:$B,MATCH(B256,Opportunities!$A:$A,0)),""))</f>
        <v/>
      </c>
    </row>
    <row r="257" customFormat="false" ht="15" hidden="false" customHeight="false" outlineLevel="0" collapsed="false">
      <c r="A257" s="3"/>
      <c r="C257" s="4" t="str">
        <f aca="false">IF(B257="","",IFERROR(INDEX(Opportunities!$B:$B,MATCH(B257,Opportunities!$A:$A,0)),""))</f>
        <v/>
      </c>
    </row>
    <row r="258" customFormat="false" ht="15" hidden="false" customHeight="false" outlineLevel="0" collapsed="false">
      <c r="A258" s="3"/>
      <c r="C258" s="4" t="str">
        <f aca="false">IF(B258="","",IFERROR(INDEX(Opportunities!$B:$B,MATCH(B258,Opportunities!$A:$A,0)),""))</f>
        <v/>
      </c>
    </row>
    <row r="259" customFormat="false" ht="15" hidden="false" customHeight="false" outlineLevel="0" collapsed="false">
      <c r="A259" s="3"/>
      <c r="C259" s="4" t="str">
        <f aca="false">IF(B259="","",IFERROR(INDEX(Opportunities!$B:$B,MATCH(B259,Opportunities!$A:$A,0)),""))</f>
        <v/>
      </c>
    </row>
    <row r="260" customFormat="false" ht="15" hidden="false" customHeight="false" outlineLevel="0" collapsed="false">
      <c r="A260" s="3"/>
      <c r="C260" s="4" t="str">
        <f aca="false">IF(B260="","",IFERROR(INDEX(Opportunities!$B:$B,MATCH(B260,Opportunities!$A:$A,0)),""))</f>
        <v/>
      </c>
    </row>
    <row r="261" customFormat="false" ht="15" hidden="false" customHeight="false" outlineLevel="0" collapsed="false">
      <c r="A261" s="3"/>
      <c r="C261" s="4" t="str">
        <f aca="false">IF(B261="","",IFERROR(INDEX(Opportunities!$B:$B,MATCH(B261,Opportunities!$A:$A,0)),""))</f>
        <v/>
      </c>
    </row>
    <row r="262" customFormat="false" ht="15" hidden="false" customHeight="false" outlineLevel="0" collapsed="false">
      <c r="A262" s="3"/>
      <c r="C262" s="4" t="str">
        <f aca="false">IF(B262="","",IFERROR(INDEX(Opportunities!$B:$B,MATCH(B262,Opportunities!$A:$A,0)),""))</f>
        <v/>
      </c>
    </row>
    <row r="263" customFormat="false" ht="15" hidden="false" customHeight="false" outlineLevel="0" collapsed="false">
      <c r="A263" s="3"/>
      <c r="C263" s="4" t="str">
        <f aca="false">IF(B263="","",IFERROR(INDEX(Opportunities!$B:$B,MATCH(B263,Opportunities!$A:$A,0)),""))</f>
        <v/>
      </c>
    </row>
    <row r="264" customFormat="false" ht="15" hidden="false" customHeight="false" outlineLevel="0" collapsed="false">
      <c r="A264" s="3"/>
      <c r="C264" s="4" t="str">
        <f aca="false">IF(B264="","",IFERROR(INDEX(Opportunities!$B:$B,MATCH(B264,Opportunities!$A:$A,0)),""))</f>
        <v/>
      </c>
    </row>
    <row r="265" customFormat="false" ht="15" hidden="false" customHeight="false" outlineLevel="0" collapsed="false">
      <c r="A265" s="3"/>
      <c r="C265" s="4" t="str">
        <f aca="false">IF(B265="","",IFERROR(INDEX(Opportunities!$B:$B,MATCH(B265,Opportunities!$A:$A,0)),""))</f>
        <v/>
      </c>
    </row>
    <row r="266" customFormat="false" ht="15" hidden="false" customHeight="false" outlineLevel="0" collapsed="false">
      <c r="A266" s="3"/>
      <c r="C266" s="4" t="str">
        <f aca="false">IF(B266="","",IFERROR(INDEX(Opportunities!$B:$B,MATCH(B266,Opportunities!$A:$A,0)),""))</f>
        <v/>
      </c>
    </row>
    <row r="267" customFormat="false" ht="15" hidden="false" customHeight="false" outlineLevel="0" collapsed="false">
      <c r="A267" s="3"/>
      <c r="C267" s="4" t="str">
        <f aca="false">IF(B267="","",IFERROR(INDEX(Opportunities!$B:$B,MATCH(B267,Opportunities!$A:$A,0)),""))</f>
        <v/>
      </c>
    </row>
    <row r="268" customFormat="false" ht="15" hidden="false" customHeight="false" outlineLevel="0" collapsed="false">
      <c r="A268" s="3"/>
      <c r="C268" s="4" t="str">
        <f aca="false">IF(B268="","",IFERROR(INDEX(Opportunities!$B:$B,MATCH(B268,Opportunities!$A:$A,0)),""))</f>
        <v/>
      </c>
    </row>
    <row r="269" customFormat="false" ht="15" hidden="false" customHeight="false" outlineLevel="0" collapsed="false">
      <c r="A269" s="3"/>
      <c r="C269" s="4" t="str">
        <f aca="false">IF(B269="","",IFERROR(INDEX(Opportunities!$B:$B,MATCH(B269,Opportunities!$A:$A,0)),""))</f>
        <v/>
      </c>
    </row>
    <row r="270" customFormat="false" ht="15" hidden="false" customHeight="false" outlineLevel="0" collapsed="false">
      <c r="A270" s="3"/>
      <c r="C270" s="4" t="str">
        <f aca="false">IF(B270="","",IFERROR(INDEX(Opportunities!$B:$B,MATCH(B270,Opportunities!$A:$A,0)),""))</f>
        <v/>
      </c>
    </row>
    <row r="271" customFormat="false" ht="15" hidden="false" customHeight="false" outlineLevel="0" collapsed="false">
      <c r="A271" s="3"/>
      <c r="C271" s="4" t="str">
        <f aca="false">IF(B271="","",IFERROR(INDEX(Opportunities!$B:$B,MATCH(B271,Opportunities!$A:$A,0)),""))</f>
        <v/>
      </c>
    </row>
    <row r="272" customFormat="false" ht="15" hidden="false" customHeight="false" outlineLevel="0" collapsed="false">
      <c r="A272" s="3"/>
      <c r="C272" s="4" t="str">
        <f aca="false">IF(B272="","",IFERROR(INDEX(Opportunities!$B:$B,MATCH(B272,Opportunities!$A:$A,0)),""))</f>
        <v/>
      </c>
    </row>
    <row r="273" customFormat="false" ht="15" hidden="false" customHeight="false" outlineLevel="0" collapsed="false">
      <c r="A273" s="3"/>
      <c r="C273" s="4" t="str">
        <f aca="false">IF(B273="","",IFERROR(INDEX(Opportunities!$B:$B,MATCH(B273,Opportunities!$A:$A,0)),""))</f>
        <v/>
      </c>
    </row>
    <row r="274" customFormat="false" ht="15" hidden="false" customHeight="false" outlineLevel="0" collapsed="false">
      <c r="A274" s="3"/>
      <c r="C274" s="4" t="str">
        <f aca="false">IF(B274="","",IFERROR(INDEX(Opportunities!$B:$B,MATCH(B274,Opportunities!$A:$A,0)),""))</f>
        <v/>
      </c>
    </row>
    <row r="275" customFormat="false" ht="15" hidden="false" customHeight="false" outlineLevel="0" collapsed="false">
      <c r="A275" s="3"/>
      <c r="C275" s="4" t="str">
        <f aca="false">IF(B275="","",IFERROR(INDEX(Opportunities!$B:$B,MATCH(B275,Opportunities!$A:$A,0)),""))</f>
        <v/>
      </c>
    </row>
    <row r="276" customFormat="false" ht="15" hidden="false" customHeight="false" outlineLevel="0" collapsed="false">
      <c r="A276" s="3"/>
      <c r="C276" s="4" t="str">
        <f aca="false">IF(B276="","",IFERROR(INDEX(Opportunities!$B:$B,MATCH(B276,Opportunities!$A:$A,0)),""))</f>
        <v/>
      </c>
    </row>
    <row r="277" customFormat="false" ht="15" hidden="false" customHeight="false" outlineLevel="0" collapsed="false">
      <c r="A277" s="3"/>
      <c r="C277" s="4" t="str">
        <f aca="false">IF(B277="","",IFERROR(INDEX(Opportunities!$B:$B,MATCH(B277,Opportunities!$A:$A,0)),""))</f>
        <v/>
      </c>
    </row>
    <row r="278" customFormat="false" ht="15" hidden="false" customHeight="false" outlineLevel="0" collapsed="false">
      <c r="A278" s="3"/>
      <c r="C278" s="4" t="str">
        <f aca="false">IF(B278="","",IFERROR(INDEX(Opportunities!$B:$B,MATCH(B278,Opportunities!$A:$A,0)),""))</f>
        <v/>
      </c>
    </row>
    <row r="279" customFormat="false" ht="15" hidden="false" customHeight="false" outlineLevel="0" collapsed="false">
      <c r="A279" s="3"/>
      <c r="C279" s="4" t="str">
        <f aca="false">IF(B279="","",IFERROR(INDEX(Opportunities!$B:$B,MATCH(B279,Opportunities!$A:$A,0)),""))</f>
        <v/>
      </c>
    </row>
    <row r="280" customFormat="false" ht="15" hidden="false" customHeight="false" outlineLevel="0" collapsed="false">
      <c r="A280" s="3"/>
      <c r="C280" s="4" t="str">
        <f aca="false">IF(B280="","",IFERROR(INDEX(Opportunities!$B:$B,MATCH(B280,Opportunities!$A:$A,0)),""))</f>
        <v/>
      </c>
    </row>
    <row r="281" customFormat="false" ht="15" hidden="false" customHeight="false" outlineLevel="0" collapsed="false">
      <c r="A281" s="3"/>
      <c r="C281" s="4" t="str">
        <f aca="false">IF(B281="","",IFERROR(INDEX(Opportunities!$B:$B,MATCH(B281,Opportunities!$A:$A,0)),""))</f>
        <v/>
      </c>
    </row>
    <row r="282" customFormat="false" ht="15" hidden="false" customHeight="false" outlineLevel="0" collapsed="false">
      <c r="A282" s="3"/>
      <c r="C282" s="4" t="str">
        <f aca="false">IF(B282="","",IFERROR(INDEX(Opportunities!$B:$B,MATCH(B282,Opportunities!$A:$A,0)),""))</f>
        <v/>
      </c>
    </row>
    <row r="283" customFormat="false" ht="15" hidden="false" customHeight="false" outlineLevel="0" collapsed="false">
      <c r="A283" s="3"/>
      <c r="C283" s="4" t="str">
        <f aca="false">IF(B283="","",IFERROR(INDEX(Opportunities!$B:$B,MATCH(B283,Opportunities!$A:$A,0)),""))</f>
        <v/>
      </c>
    </row>
    <row r="284" customFormat="false" ht="15" hidden="false" customHeight="false" outlineLevel="0" collapsed="false">
      <c r="A284" s="3"/>
      <c r="C284" s="4" t="str">
        <f aca="false">IF(B284="","",IFERROR(INDEX(Opportunities!$B:$B,MATCH(B284,Opportunities!$A:$A,0)),""))</f>
        <v/>
      </c>
    </row>
    <row r="285" customFormat="false" ht="15" hidden="false" customHeight="false" outlineLevel="0" collapsed="false">
      <c r="A285" s="3"/>
      <c r="C285" s="4" t="str">
        <f aca="false">IF(B285="","",IFERROR(INDEX(Opportunities!$B:$B,MATCH(B285,Opportunities!$A:$A,0)),""))</f>
        <v/>
      </c>
    </row>
    <row r="286" customFormat="false" ht="15" hidden="false" customHeight="false" outlineLevel="0" collapsed="false">
      <c r="A286" s="3"/>
      <c r="C286" s="4" t="str">
        <f aca="false">IF(B286="","",IFERROR(INDEX(Opportunities!$B:$B,MATCH(B286,Opportunities!$A:$A,0)),""))</f>
        <v/>
      </c>
    </row>
    <row r="287" customFormat="false" ht="15" hidden="false" customHeight="false" outlineLevel="0" collapsed="false">
      <c r="A287" s="3"/>
      <c r="C287" s="4" t="str">
        <f aca="false">IF(B287="","",IFERROR(INDEX(Opportunities!$B:$B,MATCH(B287,Opportunities!$A:$A,0)),""))</f>
        <v/>
      </c>
    </row>
    <row r="288" customFormat="false" ht="15" hidden="false" customHeight="false" outlineLevel="0" collapsed="false">
      <c r="A288" s="3"/>
      <c r="C288" s="4" t="str">
        <f aca="false">IF(B288="","",IFERROR(INDEX(Opportunities!$B:$B,MATCH(B288,Opportunities!$A:$A,0)),""))</f>
        <v/>
      </c>
    </row>
    <row r="289" customFormat="false" ht="15" hidden="false" customHeight="false" outlineLevel="0" collapsed="false">
      <c r="A289" s="3"/>
      <c r="C289" s="4" t="str">
        <f aca="false">IF(B289="","",IFERROR(INDEX(Opportunities!$B:$B,MATCH(B289,Opportunities!$A:$A,0)),""))</f>
        <v/>
      </c>
    </row>
    <row r="290" customFormat="false" ht="15" hidden="false" customHeight="false" outlineLevel="0" collapsed="false">
      <c r="A290" s="3"/>
      <c r="C290" s="4" t="str">
        <f aca="false">IF(B290="","",IFERROR(INDEX(Opportunities!$B:$B,MATCH(B290,Opportunities!$A:$A,0)),""))</f>
        <v/>
      </c>
    </row>
    <row r="291" customFormat="false" ht="15" hidden="false" customHeight="false" outlineLevel="0" collapsed="false">
      <c r="A291" s="3"/>
      <c r="C291" s="4" t="str">
        <f aca="false">IF(B291="","",IFERROR(INDEX(Opportunities!$B:$B,MATCH(B291,Opportunities!$A:$A,0)),""))</f>
        <v/>
      </c>
    </row>
    <row r="292" customFormat="false" ht="15" hidden="false" customHeight="false" outlineLevel="0" collapsed="false">
      <c r="A292" s="3"/>
      <c r="C292" s="4" t="str">
        <f aca="false">IF(B292="","",IFERROR(INDEX(Opportunities!$B:$B,MATCH(B292,Opportunities!$A:$A,0)),""))</f>
        <v/>
      </c>
    </row>
    <row r="293" customFormat="false" ht="15" hidden="false" customHeight="false" outlineLevel="0" collapsed="false">
      <c r="A293" s="3"/>
      <c r="C293" s="4" t="str">
        <f aca="false">IF(B293="","",IFERROR(INDEX(Opportunities!$B:$B,MATCH(B293,Opportunities!$A:$A,0)),""))</f>
        <v/>
      </c>
    </row>
    <row r="294" customFormat="false" ht="15" hidden="false" customHeight="false" outlineLevel="0" collapsed="false">
      <c r="A294" s="3"/>
      <c r="C294" s="4" t="str">
        <f aca="false">IF(B294="","",IFERROR(INDEX(Opportunities!$B:$B,MATCH(B294,Opportunities!$A:$A,0)),""))</f>
        <v/>
      </c>
    </row>
    <row r="295" customFormat="false" ht="15" hidden="false" customHeight="false" outlineLevel="0" collapsed="false">
      <c r="A295" s="3"/>
      <c r="C295" s="4" t="str">
        <f aca="false">IF(B295="","",IFERROR(INDEX(Opportunities!$B:$B,MATCH(B295,Opportunities!$A:$A,0)),""))</f>
        <v/>
      </c>
    </row>
    <row r="296" customFormat="false" ht="15" hidden="false" customHeight="false" outlineLevel="0" collapsed="false">
      <c r="A296" s="3"/>
      <c r="C296" s="4" t="str">
        <f aca="false">IF(B296="","",IFERROR(INDEX(Opportunities!$B:$B,MATCH(B296,Opportunities!$A:$A,0)),""))</f>
        <v/>
      </c>
    </row>
    <row r="297" customFormat="false" ht="15" hidden="false" customHeight="false" outlineLevel="0" collapsed="false">
      <c r="A297" s="3"/>
      <c r="C297" s="4" t="str">
        <f aca="false">IF(B297="","",IFERROR(INDEX(Opportunities!$B:$B,MATCH(B297,Opportunities!$A:$A,0)),""))</f>
        <v/>
      </c>
    </row>
    <row r="298" customFormat="false" ht="15" hidden="false" customHeight="false" outlineLevel="0" collapsed="false">
      <c r="A298" s="3"/>
      <c r="C298" s="4" t="str">
        <f aca="false">IF(B298="","",IFERROR(INDEX(Opportunities!$B:$B,MATCH(B298,Opportunities!$A:$A,0)),""))</f>
        <v/>
      </c>
    </row>
    <row r="299" customFormat="false" ht="15" hidden="false" customHeight="false" outlineLevel="0" collapsed="false">
      <c r="A299" s="3"/>
      <c r="C299" s="4" t="str">
        <f aca="false">IF(B299="","",IFERROR(INDEX(Opportunities!$B:$B,MATCH(B299,Opportunities!$A:$A,0)),""))</f>
        <v/>
      </c>
    </row>
    <row r="300" customFormat="false" ht="15" hidden="false" customHeight="false" outlineLevel="0" collapsed="false">
      <c r="A300" s="3"/>
      <c r="C300" s="4" t="str">
        <f aca="false">IF(B300="","",IFERROR(INDEX(Opportunities!$B:$B,MATCH(B300,Opportunities!$A:$A,0)),""))</f>
        <v/>
      </c>
    </row>
    <row r="301" customFormat="false" ht="15" hidden="false" customHeight="false" outlineLevel="0" collapsed="false">
      <c r="A301" s="3"/>
      <c r="C301" s="4" t="str">
        <f aca="false">IF(B301="","",IFERROR(INDEX(Opportunities!$B:$B,MATCH(B301,Opportunities!$A:$A,0)),""))</f>
        <v/>
      </c>
    </row>
  </sheetData>
  <dataValidations count="1">
    <dataValidation allowBlank="true" errorStyle="stop" operator="between" showDropDown="false" showErrorMessage="false" showInputMessage="false" sqref="D2:D301" type="list">
      <formula1>Rules!$N$2:$N$20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8" min="7" style="0" width="16"/>
  </cols>
  <sheetData>
    <row r="1" customFormat="false" ht="31.5" hidden="false" customHeight="true" outlineLevel="0" collapsed="false">
      <c r="A1" s="1" t="s">
        <v>41</v>
      </c>
      <c r="B1" s="1" t="s">
        <v>35</v>
      </c>
      <c r="C1" s="1" t="s">
        <v>42</v>
      </c>
      <c r="D1" s="2" t="s">
        <v>1</v>
      </c>
      <c r="E1" s="1" t="s">
        <v>43</v>
      </c>
      <c r="F1" s="1" t="s">
        <v>44</v>
      </c>
      <c r="G1" s="1" t="s">
        <v>45</v>
      </c>
      <c r="H1" s="1" t="s">
        <v>46</v>
      </c>
    </row>
    <row r="2" customFormat="false" ht="15" hidden="false" customHeight="false" outlineLevel="0" collapsed="false">
      <c r="B2" s="3"/>
      <c r="D2" s="4" t="str">
        <f aca="false">IF(C2="","",IFERROR(INDEX(Opportunities!$B:$B,MATCH(C2,Opportunities!$A:$A,0)),""))</f>
        <v/>
      </c>
    </row>
    <row r="3" customFormat="false" ht="15" hidden="false" customHeight="false" outlineLevel="0" collapsed="false">
      <c r="B3" s="3"/>
      <c r="D3" s="4" t="str">
        <f aca="false">IF(C3="","",IFERROR(INDEX(Opportunities!$B:$B,MATCH(C3,Opportunities!$A:$A,0)),""))</f>
        <v/>
      </c>
    </row>
    <row r="4" customFormat="false" ht="15" hidden="false" customHeight="false" outlineLevel="0" collapsed="false">
      <c r="B4" s="3"/>
      <c r="D4" s="4" t="str">
        <f aca="false">IF(C4="","",IFERROR(INDEX(Opportunities!$B:$B,MATCH(C4,Opportunities!$A:$A,0)),""))</f>
        <v/>
      </c>
    </row>
    <row r="5" customFormat="false" ht="15" hidden="false" customHeight="false" outlineLevel="0" collapsed="false">
      <c r="B5" s="3"/>
      <c r="D5" s="4" t="str">
        <f aca="false">IF(C5="","",IFERROR(INDEX(Opportunities!$B:$B,MATCH(C5,Opportunities!$A:$A,0)),""))</f>
        <v/>
      </c>
    </row>
    <row r="6" customFormat="false" ht="15" hidden="false" customHeight="false" outlineLevel="0" collapsed="false">
      <c r="B6" s="3"/>
      <c r="D6" s="4" t="str">
        <f aca="false">IF(C6="","",IFERROR(INDEX(Opportunities!$B:$B,MATCH(C6,Opportunities!$A:$A,0)),""))</f>
        <v/>
      </c>
    </row>
    <row r="7" customFormat="false" ht="15" hidden="false" customHeight="false" outlineLevel="0" collapsed="false">
      <c r="B7" s="3"/>
      <c r="D7" s="4" t="str">
        <f aca="false">IF(C7="","",IFERROR(INDEX(Opportunities!$B:$B,MATCH(C7,Opportunities!$A:$A,0)),""))</f>
        <v/>
      </c>
    </row>
    <row r="8" customFormat="false" ht="15" hidden="false" customHeight="false" outlineLevel="0" collapsed="false">
      <c r="B8" s="3"/>
      <c r="D8" s="4" t="str">
        <f aca="false">IF(C8="","",IFERROR(INDEX(Opportunities!$B:$B,MATCH(C8,Opportunities!$A:$A,0)),""))</f>
        <v/>
      </c>
    </row>
    <row r="9" customFormat="false" ht="15" hidden="false" customHeight="false" outlineLevel="0" collapsed="false">
      <c r="B9" s="3"/>
      <c r="D9" s="4" t="str">
        <f aca="false">IF(C9="","",IFERROR(INDEX(Opportunities!$B:$B,MATCH(C9,Opportunities!$A:$A,0)),""))</f>
        <v/>
      </c>
    </row>
    <row r="10" customFormat="false" ht="15" hidden="false" customHeight="false" outlineLevel="0" collapsed="false">
      <c r="B10" s="3"/>
      <c r="D10" s="4" t="str">
        <f aca="false">IF(C10="","",IFERROR(INDEX(Opportunities!$B:$B,MATCH(C10,Opportunities!$A:$A,0)),""))</f>
        <v/>
      </c>
    </row>
    <row r="11" customFormat="false" ht="15" hidden="false" customHeight="false" outlineLevel="0" collapsed="false">
      <c r="B11" s="3"/>
      <c r="D11" s="4" t="str">
        <f aca="false">IF(C11="","",IFERROR(INDEX(Opportunities!$B:$B,MATCH(C11,Opportunities!$A:$A,0)),""))</f>
        <v/>
      </c>
    </row>
    <row r="12" customFormat="false" ht="15" hidden="false" customHeight="false" outlineLevel="0" collapsed="false">
      <c r="B12" s="3"/>
      <c r="D12" s="4" t="str">
        <f aca="false">IF(C12="","",IFERROR(INDEX(Opportunities!$B:$B,MATCH(C12,Opportunities!$A:$A,0)),""))</f>
        <v/>
      </c>
    </row>
    <row r="13" customFormat="false" ht="15" hidden="false" customHeight="false" outlineLevel="0" collapsed="false">
      <c r="B13" s="3"/>
      <c r="D13" s="4" t="str">
        <f aca="false">IF(C13="","",IFERROR(INDEX(Opportunities!$B:$B,MATCH(C13,Opportunities!$A:$A,0)),""))</f>
        <v/>
      </c>
    </row>
    <row r="14" customFormat="false" ht="15" hidden="false" customHeight="false" outlineLevel="0" collapsed="false">
      <c r="B14" s="3"/>
      <c r="D14" s="4" t="str">
        <f aca="false">IF(C14="","",IFERROR(INDEX(Opportunities!$B:$B,MATCH(C14,Opportunities!$A:$A,0)),""))</f>
        <v/>
      </c>
    </row>
    <row r="15" customFormat="false" ht="15" hidden="false" customHeight="false" outlineLevel="0" collapsed="false">
      <c r="B15" s="3"/>
      <c r="D15" s="4" t="str">
        <f aca="false">IF(C15="","",IFERROR(INDEX(Opportunities!$B:$B,MATCH(C15,Opportunities!$A:$A,0)),""))</f>
        <v/>
      </c>
    </row>
    <row r="16" customFormat="false" ht="15" hidden="false" customHeight="false" outlineLevel="0" collapsed="false">
      <c r="B16" s="3"/>
      <c r="D16" s="4" t="str">
        <f aca="false">IF(C16="","",IFERROR(INDEX(Opportunities!$B:$B,MATCH(C16,Opportunities!$A:$A,0)),""))</f>
        <v/>
      </c>
    </row>
    <row r="17" customFormat="false" ht="15" hidden="false" customHeight="false" outlineLevel="0" collapsed="false">
      <c r="B17" s="3"/>
      <c r="D17" s="4" t="str">
        <f aca="false">IF(C17="","",IFERROR(INDEX(Opportunities!$B:$B,MATCH(C17,Opportunities!$A:$A,0)),""))</f>
        <v/>
      </c>
    </row>
    <row r="18" customFormat="false" ht="15" hidden="false" customHeight="false" outlineLevel="0" collapsed="false">
      <c r="B18" s="3"/>
      <c r="D18" s="4" t="str">
        <f aca="false">IF(C18="","",IFERROR(INDEX(Opportunities!$B:$B,MATCH(C18,Opportunities!$A:$A,0)),""))</f>
        <v/>
      </c>
    </row>
    <row r="19" customFormat="false" ht="15" hidden="false" customHeight="false" outlineLevel="0" collapsed="false">
      <c r="B19" s="3"/>
      <c r="D19" s="4" t="str">
        <f aca="false">IF(C19="","",IFERROR(INDEX(Opportunities!$B:$B,MATCH(C19,Opportunities!$A:$A,0)),""))</f>
        <v/>
      </c>
    </row>
    <row r="20" customFormat="false" ht="15" hidden="false" customHeight="false" outlineLevel="0" collapsed="false">
      <c r="B20" s="3"/>
      <c r="D20" s="4" t="str">
        <f aca="false">IF(C20="","",IFERROR(INDEX(Opportunities!$B:$B,MATCH(C20,Opportunities!$A:$A,0)),""))</f>
        <v/>
      </c>
    </row>
    <row r="21" customFormat="false" ht="15" hidden="false" customHeight="false" outlineLevel="0" collapsed="false">
      <c r="B21" s="3"/>
      <c r="D21" s="4" t="str">
        <f aca="false">IF(C21="","",IFERROR(INDEX(Opportunities!$B:$B,MATCH(C21,Opportunities!$A:$A,0)),""))</f>
        <v/>
      </c>
    </row>
    <row r="22" customFormat="false" ht="15" hidden="false" customHeight="false" outlineLevel="0" collapsed="false">
      <c r="B22" s="3"/>
      <c r="D22" s="4" t="str">
        <f aca="false">IF(C22="","",IFERROR(INDEX(Opportunities!$B:$B,MATCH(C22,Opportunities!$A:$A,0)),""))</f>
        <v/>
      </c>
    </row>
    <row r="23" customFormat="false" ht="15" hidden="false" customHeight="false" outlineLevel="0" collapsed="false">
      <c r="B23" s="3"/>
      <c r="D23" s="4" t="str">
        <f aca="false">IF(C23="","",IFERROR(INDEX(Opportunities!$B:$B,MATCH(C23,Opportunities!$A:$A,0)),""))</f>
        <v/>
      </c>
    </row>
    <row r="24" customFormat="false" ht="15" hidden="false" customHeight="false" outlineLevel="0" collapsed="false">
      <c r="B24" s="3"/>
      <c r="D24" s="4" t="str">
        <f aca="false">IF(C24="","",IFERROR(INDEX(Opportunities!$B:$B,MATCH(C24,Opportunities!$A:$A,0)),""))</f>
        <v/>
      </c>
    </row>
    <row r="25" customFormat="false" ht="15" hidden="false" customHeight="false" outlineLevel="0" collapsed="false">
      <c r="B25" s="3"/>
      <c r="D25" s="4" t="str">
        <f aca="false">IF(C25="","",IFERROR(INDEX(Opportunities!$B:$B,MATCH(C25,Opportunities!$A:$A,0)),""))</f>
        <v/>
      </c>
    </row>
    <row r="26" customFormat="false" ht="15" hidden="false" customHeight="false" outlineLevel="0" collapsed="false">
      <c r="B26" s="3"/>
      <c r="D26" s="4" t="str">
        <f aca="false">IF(C26="","",IFERROR(INDEX(Opportunities!$B:$B,MATCH(C26,Opportunities!$A:$A,0)),""))</f>
        <v/>
      </c>
    </row>
    <row r="27" customFormat="false" ht="15" hidden="false" customHeight="false" outlineLevel="0" collapsed="false">
      <c r="B27" s="3"/>
      <c r="D27" s="4" t="str">
        <f aca="false">IF(C27="","",IFERROR(INDEX(Opportunities!$B:$B,MATCH(C27,Opportunities!$A:$A,0)),""))</f>
        <v/>
      </c>
    </row>
    <row r="28" customFormat="false" ht="15" hidden="false" customHeight="false" outlineLevel="0" collapsed="false">
      <c r="B28" s="3"/>
      <c r="D28" s="4" t="str">
        <f aca="false">IF(C28="","",IFERROR(INDEX(Opportunities!$B:$B,MATCH(C28,Opportunities!$A:$A,0)),""))</f>
        <v/>
      </c>
    </row>
    <row r="29" customFormat="false" ht="15" hidden="false" customHeight="false" outlineLevel="0" collapsed="false">
      <c r="B29" s="3"/>
      <c r="D29" s="4" t="str">
        <f aca="false">IF(C29="","",IFERROR(INDEX(Opportunities!$B:$B,MATCH(C29,Opportunities!$A:$A,0)),""))</f>
        <v/>
      </c>
    </row>
    <row r="30" customFormat="false" ht="15" hidden="false" customHeight="false" outlineLevel="0" collapsed="false">
      <c r="B30" s="3"/>
      <c r="D30" s="4" t="str">
        <f aca="false">IF(C30="","",IFERROR(INDEX(Opportunities!$B:$B,MATCH(C30,Opportunities!$A:$A,0)),""))</f>
        <v/>
      </c>
    </row>
    <row r="31" customFormat="false" ht="15" hidden="false" customHeight="false" outlineLevel="0" collapsed="false">
      <c r="B31" s="3"/>
      <c r="D31" s="4" t="str">
        <f aca="false">IF(C31="","",IFERROR(INDEX(Opportunities!$B:$B,MATCH(C31,Opportunities!$A:$A,0)),""))</f>
        <v/>
      </c>
    </row>
    <row r="32" customFormat="false" ht="15" hidden="false" customHeight="false" outlineLevel="0" collapsed="false">
      <c r="B32" s="3"/>
      <c r="D32" s="4" t="str">
        <f aca="false">IF(C32="","",IFERROR(INDEX(Opportunities!$B:$B,MATCH(C32,Opportunities!$A:$A,0)),""))</f>
        <v/>
      </c>
    </row>
    <row r="33" customFormat="false" ht="15" hidden="false" customHeight="false" outlineLevel="0" collapsed="false">
      <c r="B33" s="3"/>
      <c r="D33" s="4" t="str">
        <f aca="false">IF(C33="","",IFERROR(INDEX(Opportunities!$B:$B,MATCH(C33,Opportunities!$A:$A,0)),""))</f>
        <v/>
      </c>
    </row>
    <row r="34" customFormat="false" ht="15" hidden="false" customHeight="false" outlineLevel="0" collapsed="false">
      <c r="B34" s="3"/>
      <c r="D34" s="4" t="str">
        <f aca="false">IF(C34="","",IFERROR(INDEX(Opportunities!$B:$B,MATCH(C34,Opportunities!$A:$A,0)),""))</f>
        <v/>
      </c>
    </row>
    <row r="35" customFormat="false" ht="15" hidden="false" customHeight="false" outlineLevel="0" collapsed="false">
      <c r="B35" s="3"/>
      <c r="D35" s="4" t="str">
        <f aca="false">IF(C35="","",IFERROR(INDEX(Opportunities!$B:$B,MATCH(C35,Opportunities!$A:$A,0)),""))</f>
        <v/>
      </c>
    </row>
    <row r="36" customFormat="false" ht="15" hidden="false" customHeight="false" outlineLevel="0" collapsed="false">
      <c r="B36" s="3"/>
      <c r="D36" s="4" t="str">
        <f aca="false">IF(C36="","",IFERROR(INDEX(Opportunities!$B:$B,MATCH(C36,Opportunities!$A:$A,0)),""))</f>
        <v/>
      </c>
    </row>
    <row r="37" customFormat="false" ht="15" hidden="false" customHeight="false" outlineLevel="0" collapsed="false">
      <c r="B37" s="3"/>
      <c r="D37" s="4" t="str">
        <f aca="false">IF(C37="","",IFERROR(INDEX(Opportunities!$B:$B,MATCH(C37,Opportunities!$A:$A,0)),""))</f>
        <v/>
      </c>
    </row>
    <row r="38" customFormat="false" ht="15" hidden="false" customHeight="false" outlineLevel="0" collapsed="false">
      <c r="B38" s="3"/>
      <c r="D38" s="4" t="str">
        <f aca="false">IF(C38="","",IFERROR(INDEX(Opportunities!$B:$B,MATCH(C38,Opportunities!$A:$A,0)),""))</f>
        <v/>
      </c>
    </row>
    <row r="39" customFormat="false" ht="15" hidden="false" customHeight="false" outlineLevel="0" collapsed="false">
      <c r="B39" s="3"/>
      <c r="D39" s="4" t="str">
        <f aca="false">IF(C39="","",IFERROR(INDEX(Opportunities!$B:$B,MATCH(C39,Opportunities!$A:$A,0)),""))</f>
        <v/>
      </c>
    </row>
    <row r="40" customFormat="false" ht="15" hidden="false" customHeight="false" outlineLevel="0" collapsed="false">
      <c r="B40" s="3"/>
      <c r="D40" s="4" t="str">
        <f aca="false">IF(C40="","",IFERROR(INDEX(Opportunities!$B:$B,MATCH(C40,Opportunities!$A:$A,0)),""))</f>
        <v/>
      </c>
    </row>
    <row r="41" customFormat="false" ht="15" hidden="false" customHeight="false" outlineLevel="0" collapsed="false">
      <c r="B41" s="3"/>
      <c r="D41" s="4" t="str">
        <f aca="false">IF(C41="","",IFERROR(INDEX(Opportunities!$B:$B,MATCH(C41,Opportunities!$A:$A,0)),""))</f>
        <v/>
      </c>
    </row>
    <row r="42" customFormat="false" ht="15" hidden="false" customHeight="false" outlineLevel="0" collapsed="false">
      <c r="B42" s="3"/>
      <c r="D42" s="4" t="str">
        <f aca="false">IF(C42="","",IFERROR(INDEX(Opportunities!$B:$B,MATCH(C42,Opportunities!$A:$A,0)),""))</f>
        <v/>
      </c>
    </row>
    <row r="43" customFormat="false" ht="15" hidden="false" customHeight="false" outlineLevel="0" collapsed="false">
      <c r="B43" s="3"/>
      <c r="D43" s="4" t="str">
        <f aca="false">IF(C43="","",IFERROR(INDEX(Opportunities!$B:$B,MATCH(C43,Opportunities!$A:$A,0)),""))</f>
        <v/>
      </c>
    </row>
    <row r="44" customFormat="false" ht="15" hidden="false" customHeight="false" outlineLevel="0" collapsed="false">
      <c r="B44" s="3"/>
      <c r="D44" s="4" t="str">
        <f aca="false">IF(C44="","",IFERROR(INDEX(Opportunities!$B:$B,MATCH(C44,Opportunities!$A:$A,0)),""))</f>
        <v/>
      </c>
    </row>
    <row r="45" customFormat="false" ht="15" hidden="false" customHeight="false" outlineLevel="0" collapsed="false">
      <c r="B45" s="3"/>
      <c r="D45" s="4" t="str">
        <f aca="false">IF(C45="","",IFERROR(INDEX(Opportunities!$B:$B,MATCH(C45,Opportunities!$A:$A,0)),""))</f>
        <v/>
      </c>
    </row>
    <row r="46" customFormat="false" ht="15" hidden="false" customHeight="false" outlineLevel="0" collapsed="false">
      <c r="B46" s="3"/>
      <c r="D46" s="4" t="str">
        <f aca="false">IF(C46="","",IFERROR(INDEX(Opportunities!$B:$B,MATCH(C46,Opportunities!$A:$A,0)),""))</f>
        <v/>
      </c>
    </row>
    <row r="47" customFormat="false" ht="15" hidden="false" customHeight="false" outlineLevel="0" collapsed="false">
      <c r="B47" s="3"/>
      <c r="D47" s="4" t="str">
        <f aca="false">IF(C47="","",IFERROR(INDEX(Opportunities!$B:$B,MATCH(C47,Opportunities!$A:$A,0)),""))</f>
        <v/>
      </c>
    </row>
    <row r="48" customFormat="false" ht="15" hidden="false" customHeight="false" outlineLevel="0" collapsed="false">
      <c r="B48" s="3"/>
      <c r="D48" s="4" t="str">
        <f aca="false">IF(C48="","",IFERROR(INDEX(Opportunities!$B:$B,MATCH(C48,Opportunities!$A:$A,0)),""))</f>
        <v/>
      </c>
    </row>
    <row r="49" customFormat="false" ht="15" hidden="false" customHeight="false" outlineLevel="0" collapsed="false">
      <c r="B49" s="3"/>
      <c r="D49" s="4" t="str">
        <f aca="false">IF(C49="","",IFERROR(INDEX(Opportunities!$B:$B,MATCH(C49,Opportunities!$A:$A,0)),""))</f>
        <v/>
      </c>
    </row>
    <row r="50" customFormat="false" ht="15" hidden="false" customHeight="false" outlineLevel="0" collapsed="false">
      <c r="B50" s="3"/>
      <c r="D50" s="4" t="str">
        <f aca="false">IF(C50="","",IFERROR(INDEX(Opportunities!$B:$B,MATCH(C50,Opportunities!$A:$A,0)),""))</f>
        <v/>
      </c>
    </row>
    <row r="51" customFormat="false" ht="15" hidden="false" customHeight="false" outlineLevel="0" collapsed="false">
      <c r="B51" s="3"/>
      <c r="D51" s="4" t="str">
        <f aca="false">IF(C51="","",IFERROR(INDEX(Opportunities!$B:$B,MATCH(C51,Opportunities!$A:$A,0)),""))</f>
        <v/>
      </c>
    </row>
    <row r="52" customFormat="false" ht="15" hidden="false" customHeight="false" outlineLevel="0" collapsed="false">
      <c r="B52" s="3"/>
      <c r="D52" s="4" t="str">
        <f aca="false">IF(C52="","",IFERROR(INDEX(Opportunities!$B:$B,MATCH(C52,Opportunities!$A:$A,0)),""))</f>
        <v/>
      </c>
    </row>
    <row r="53" customFormat="false" ht="15" hidden="false" customHeight="false" outlineLevel="0" collapsed="false">
      <c r="B53" s="3"/>
      <c r="D53" s="4" t="str">
        <f aca="false">IF(C53="","",IFERROR(INDEX(Opportunities!$B:$B,MATCH(C53,Opportunities!$A:$A,0)),""))</f>
        <v/>
      </c>
    </row>
    <row r="54" customFormat="false" ht="15" hidden="false" customHeight="false" outlineLevel="0" collapsed="false">
      <c r="B54" s="3"/>
      <c r="D54" s="4" t="str">
        <f aca="false">IF(C54="","",IFERROR(INDEX(Opportunities!$B:$B,MATCH(C54,Opportunities!$A:$A,0)),""))</f>
        <v/>
      </c>
    </row>
    <row r="55" customFormat="false" ht="15" hidden="false" customHeight="false" outlineLevel="0" collapsed="false">
      <c r="B55" s="3"/>
      <c r="D55" s="4" t="str">
        <f aca="false">IF(C55="","",IFERROR(INDEX(Opportunities!$B:$B,MATCH(C55,Opportunities!$A:$A,0)),""))</f>
        <v/>
      </c>
    </row>
    <row r="56" customFormat="false" ht="15" hidden="false" customHeight="false" outlineLevel="0" collapsed="false">
      <c r="B56" s="3"/>
      <c r="D56" s="4" t="str">
        <f aca="false">IF(C56="","",IFERROR(INDEX(Opportunities!$B:$B,MATCH(C56,Opportunities!$A:$A,0)),""))</f>
        <v/>
      </c>
    </row>
    <row r="57" customFormat="false" ht="15" hidden="false" customHeight="false" outlineLevel="0" collapsed="false">
      <c r="B57" s="3"/>
      <c r="D57" s="4" t="str">
        <f aca="false">IF(C57="","",IFERROR(INDEX(Opportunities!$B:$B,MATCH(C57,Opportunities!$A:$A,0)),""))</f>
        <v/>
      </c>
    </row>
    <row r="58" customFormat="false" ht="15" hidden="false" customHeight="false" outlineLevel="0" collapsed="false">
      <c r="B58" s="3"/>
      <c r="D58" s="4" t="str">
        <f aca="false">IF(C58="","",IFERROR(INDEX(Opportunities!$B:$B,MATCH(C58,Opportunities!$A:$A,0)),""))</f>
        <v/>
      </c>
    </row>
    <row r="59" customFormat="false" ht="15" hidden="false" customHeight="false" outlineLevel="0" collapsed="false">
      <c r="B59" s="3"/>
      <c r="D59" s="4" t="str">
        <f aca="false">IF(C59="","",IFERROR(INDEX(Opportunities!$B:$B,MATCH(C59,Opportunities!$A:$A,0)),""))</f>
        <v/>
      </c>
    </row>
    <row r="60" customFormat="false" ht="15" hidden="false" customHeight="false" outlineLevel="0" collapsed="false">
      <c r="B60" s="3"/>
      <c r="D60" s="4" t="str">
        <f aca="false">IF(C60="","",IFERROR(INDEX(Opportunities!$B:$B,MATCH(C60,Opportunities!$A:$A,0)),""))</f>
        <v/>
      </c>
    </row>
    <row r="61" customFormat="false" ht="15" hidden="false" customHeight="false" outlineLevel="0" collapsed="false">
      <c r="B61" s="3"/>
      <c r="D61" s="4" t="str">
        <f aca="false">IF(C61="","",IFERROR(INDEX(Opportunities!$B:$B,MATCH(C61,Opportunities!$A:$A,0)),""))</f>
        <v/>
      </c>
    </row>
    <row r="62" customFormat="false" ht="15" hidden="false" customHeight="false" outlineLevel="0" collapsed="false">
      <c r="B62" s="3"/>
      <c r="D62" s="4" t="str">
        <f aca="false">IF(C62="","",IFERROR(INDEX(Opportunities!$B:$B,MATCH(C62,Opportunities!$A:$A,0)),""))</f>
        <v/>
      </c>
    </row>
    <row r="63" customFormat="false" ht="15" hidden="false" customHeight="false" outlineLevel="0" collapsed="false">
      <c r="B63" s="3"/>
      <c r="D63" s="4" t="str">
        <f aca="false">IF(C63="","",IFERROR(INDEX(Opportunities!$B:$B,MATCH(C63,Opportunities!$A:$A,0)),""))</f>
        <v/>
      </c>
    </row>
    <row r="64" customFormat="false" ht="15" hidden="false" customHeight="false" outlineLevel="0" collapsed="false">
      <c r="B64" s="3"/>
      <c r="D64" s="4" t="str">
        <f aca="false">IF(C64="","",IFERROR(INDEX(Opportunities!$B:$B,MATCH(C64,Opportunities!$A:$A,0)),""))</f>
        <v/>
      </c>
    </row>
    <row r="65" customFormat="false" ht="15" hidden="false" customHeight="false" outlineLevel="0" collapsed="false">
      <c r="B65" s="3"/>
      <c r="D65" s="4" t="str">
        <f aca="false">IF(C65="","",IFERROR(INDEX(Opportunities!$B:$B,MATCH(C65,Opportunities!$A:$A,0)),""))</f>
        <v/>
      </c>
    </row>
    <row r="66" customFormat="false" ht="15" hidden="false" customHeight="false" outlineLevel="0" collapsed="false">
      <c r="B66" s="3"/>
      <c r="D66" s="4" t="str">
        <f aca="false">IF(C66="","",IFERROR(INDEX(Opportunities!$B:$B,MATCH(C66,Opportunities!$A:$A,0)),""))</f>
        <v/>
      </c>
    </row>
    <row r="67" customFormat="false" ht="15" hidden="false" customHeight="false" outlineLevel="0" collapsed="false">
      <c r="B67" s="3"/>
      <c r="D67" s="4" t="str">
        <f aca="false">IF(C67="","",IFERROR(INDEX(Opportunities!$B:$B,MATCH(C67,Opportunities!$A:$A,0)),""))</f>
        <v/>
      </c>
    </row>
    <row r="68" customFormat="false" ht="15" hidden="false" customHeight="false" outlineLevel="0" collapsed="false">
      <c r="B68" s="3"/>
      <c r="D68" s="4" t="str">
        <f aca="false">IF(C68="","",IFERROR(INDEX(Opportunities!$B:$B,MATCH(C68,Opportunities!$A:$A,0)),""))</f>
        <v/>
      </c>
    </row>
    <row r="69" customFormat="false" ht="15" hidden="false" customHeight="false" outlineLevel="0" collapsed="false">
      <c r="B69" s="3"/>
      <c r="D69" s="4" t="str">
        <f aca="false">IF(C69="","",IFERROR(INDEX(Opportunities!$B:$B,MATCH(C69,Opportunities!$A:$A,0)),""))</f>
        <v/>
      </c>
    </row>
    <row r="70" customFormat="false" ht="15" hidden="false" customHeight="false" outlineLevel="0" collapsed="false">
      <c r="B70" s="3"/>
      <c r="D70" s="4" t="str">
        <f aca="false">IF(C70="","",IFERROR(INDEX(Opportunities!$B:$B,MATCH(C70,Opportunities!$A:$A,0)),""))</f>
        <v/>
      </c>
    </row>
    <row r="71" customFormat="false" ht="15" hidden="false" customHeight="false" outlineLevel="0" collapsed="false">
      <c r="B71" s="3"/>
      <c r="D71" s="4" t="str">
        <f aca="false">IF(C71="","",IFERROR(INDEX(Opportunities!$B:$B,MATCH(C71,Opportunities!$A:$A,0)),""))</f>
        <v/>
      </c>
    </row>
    <row r="72" customFormat="false" ht="15" hidden="false" customHeight="false" outlineLevel="0" collapsed="false">
      <c r="B72" s="3"/>
      <c r="D72" s="4" t="str">
        <f aca="false">IF(C72="","",IFERROR(INDEX(Opportunities!$B:$B,MATCH(C72,Opportunities!$A:$A,0)),""))</f>
        <v/>
      </c>
    </row>
    <row r="73" customFormat="false" ht="15" hidden="false" customHeight="false" outlineLevel="0" collapsed="false">
      <c r="B73" s="3"/>
      <c r="D73" s="4" t="str">
        <f aca="false">IF(C73="","",IFERROR(INDEX(Opportunities!$B:$B,MATCH(C73,Opportunities!$A:$A,0)),""))</f>
        <v/>
      </c>
    </row>
    <row r="74" customFormat="false" ht="15" hidden="false" customHeight="false" outlineLevel="0" collapsed="false">
      <c r="B74" s="3"/>
      <c r="D74" s="4" t="str">
        <f aca="false">IF(C74="","",IFERROR(INDEX(Opportunities!$B:$B,MATCH(C74,Opportunities!$A:$A,0)),""))</f>
        <v/>
      </c>
    </row>
    <row r="75" customFormat="false" ht="15" hidden="false" customHeight="false" outlineLevel="0" collapsed="false">
      <c r="B75" s="3"/>
      <c r="D75" s="4" t="str">
        <f aca="false">IF(C75="","",IFERROR(INDEX(Opportunities!$B:$B,MATCH(C75,Opportunities!$A:$A,0)),""))</f>
        <v/>
      </c>
    </row>
    <row r="76" customFormat="false" ht="15" hidden="false" customHeight="false" outlineLevel="0" collapsed="false">
      <c r="B76" s="3"/>
      <c r="D76" s="4" t="str">
        <f aca="false">IF(C76="","",IFERROR(INDEX(Opportunities!$B:$B,MATCH(C76,Opportunities!$A:$A,0)),""))</f>
        <v/>
      </c>
    </row>
    <row r="77" customFormat="false" ht="15" hidden="false" customHeight="false" outlineLevel="0" collapsed="false">
      <c r="B77" s="3"/>
      <c r="D77" s="4" t="str">
        <f aca="false">IF(C77="","",IFERROR(INDEX(Opportunities!$B:$B,MATCH(C77,Opportunities!$A:$A,0)),""))</f>
        <v/>
      </c>
    </row>
    <row r="78" customFormat="false" ht="15" hidden="false" customHeight="false" outlineLevel="0" collapsed="false">
      <c r="B78" s="3"/>
      <c r="D78" s="4" t="str">
        <f aca="false">IF(C78="","",IFERROR(INDEX(Opportunities!$B:$B,MATCH(C78,Opportunities!$A:$A,0)),""))</f>
        <v/>
      </c>
    </row>
    <row r="79" customFormat="false" ht="15" hidden="false" customHeight="false" outlineLevel="0" collapsed="false">
      <c r="B79" s="3"/>
      <c r="D79" s="4" t="str">
        <f aca="false">IF(C79="","",IFERROR(INDEX(Opportunities!$B:$B,MATCH(C79,Opportunities!$A:$A,0)),""))</f>
        <v/>
      </c>
    </row>
    <row r="80" customFormat="false" ht="15" hidden="false" customHeight="false" outlineLevel="0" collapsed="false">
      <c r="B80" s="3"/>
      <c r="D80" s="4" t="str">
        <f aca="false">IF(C80="","",IFERROR(INDEX(Opportunities!$B:$B,MATCH(C80,Opportunities!$A:$A,0)),""))</f>
        <v/>
      </c>
    </row>
    <row r="81" customFormat="false" ht="15" hidden="false" customHeight="false" outlineLevel="0" collapsed="false">
      <c r="B81" s="3"/>
      <c r="D81" s="4" t="str">
        <f aca="false">IF(C81="","",IFERROR(INDEX(Opportunities!$B:$B,MATCH(C81,Opportunities!$A:$A,0)),""))</f>
        <v/>
      </c>
    </row>
    <row r="82" customFormat="false" ht="15" hidden="false" customHeight="false" outlineLevel="0" collapsed="false">
      <c r="B82" s="3"/>
      <c r="D82" s="4" t="str">
        <f aca="false">IF(C82="","",IFERROR(INDEX(Opportunities!$B:$B,MATCH(C82,Opportunities!$A:$A,0)),""))</f>
        <v/>
      </c>
    </row>
    <row r="83" customFormat="false" ht="15" hidden="false" customHeight="false" outlineLevel="0" collapsed="false">
      <c r="B83" s="3"/>
      <c r="D83" s="4" t="str">
        <f aca="false">IF(C83="","",IFERROR(INDEX(Opportunities!$B:$B,MATCH(C83,Opportunities!$A:$A,0)),""))</f>
        <v/>
      </c>
    </row>
    <row r="84" customFormat="false" ht="15" hidden="false" customHeight="false" outlineLevel="0" collapsed="false">
      <c r="B84" s="3"/>
      <c r="D84" s="4" t="str">
        <f aca="false">IF(C84="","",IFERROR(INDEX(Opportunities!$B:$B,MATCH(C84,Opportunities!$A:$A,0)),""))</f>
        <v/>
      </c>
    </row>
    <row r="85" customFormat="false" ht="15" hidden="false" customHeight="false" outlineLevel="0" collapsed="false">
      <c r="B85" s="3"/>
      <c r="D85" s="4" t="str">
        <f aca="false">IF(C85="","",IFERROR(INDEX(Opportunities!$B:$B,MATCH(C85,Opportunities!$A:$A,0)),""))</f>
        <v/>
      </c>
    </row>
    <row r="86" customFormat="false" ht="15" hidden="false" customHeight="false" outlineLevel="0" collapsed="false">
      <c r="B86" s="3"/>
      <c r="D86" s="4" t="str">
        <f aca="false">IF(C86="","",IFERROR(INDEX(Opportunities!$B:$B,MATCH(C86,Opportunities!$A:$A,0)),""))</f>
        <v/>
      </c>
    </row>
    <row r="87" customFormat="false" ht="15" hidden="false" customHeight="false" outlineLevel="0" collapsed="false">
      <c r="B87" s="3"/>
      <c r="D87" s="4" t="str">
        <f aca="false">IF(C87="","",IFERROR(INDEX(Opportunities!$B:$B,MATCH(C87,Opportunities!$A:$A,0)),""))</f>
        <v/>
      </c>
    </row>
    <row r="88" customFormat="false" ht="15" hidden="false" customHeight="false" outlineLevel="0" collapsed="false">
      <c r="B88" s="3"/>
      <c r="D88" s="4" t="str">
        <f aca="false">IF(C88="","",IFERROR(INDEX(Opportunities!$B:$B,MATCH(C88,Opportunities!$A:$A,0)),""))</f>
        <v/>
      </c>
    </row>
    <row r="89" customFormat="false" ht="15" hidden="false" customHeight="false" outlineLevel="0" collapsed="false">
      <c r="B89" s="3"/>
      <c r="D89" s="4" t="str">
        <f aca="false">IF(C89="","",IFERROR(INDEX(Opportunities!$B:$B,MATCH(C89,Opportunities!$A:$A,0)),""))</f>
        <v/>
      </c>
    </row>
    <row r="90" customFormat="false" ht="15" hidden="false" customHeight="false" outlineLevel="0" collapsed="false">
      <c r="B90" s="3"/>
      <c r="D90" s="4" t="str">
        <f aca="false">IF(C90="","",IFERROR(INDEX(Opportunities!$B:$B,MATCH(C90,Opportunities!$A:$A,0)),""))</f>
        <v/>
      </c>
    </row>
    <row r="91" customFormat="false" ht="15" hidden="false" customHeight="false" outlineLevel="0" collapsed="false">
      <c r="B91" s="3"/>
      <c r="D91" s="4" t="str">
        <f aca="false">IF(C91="","",IFERROR(INDEX(Opportunities!$B:$B,MATCH(C91,Opportunities!$A:$A,0)),""))</f>
        <v/>
      </c>
    </row>
    <row r="92" customFormat="false" ht="15" hidden="false" customHeight="false" outlineLevel="0" collapsed="false">
      <c r="B92" s="3"/>
      <c r="D92" s="4" t="str">
        <f aca="false">IF(C92="","",IFERROR(INDEX(Opportunities!$B:$B,MATCH(C92,Opportunities!$A:$A,0)),""))</f>
        <v/>
      </c>
    </row>
    <row r="93" customFormat="false" ht="15" hidden="false" customHeight="false" outlineLevel="0" collapsed="false">
      <c r="B93" s="3"/>
      <c r="D93" s="4" t="str">
        <f aca="false">IF(C93="","",IFERROR(INDEX(Opportunities!$B:$B,MATCH(C93,Opportunities!$A:$A,0)),""))</f>
        <v/>
      </c>
    </row>
    <row r="94" customFormat="false" ht="15" hidden="false" customHeight="false" outlineLevel="0" collapsed="false">
      <c r="B94" s="3"/>
      <c r="D94" s="4" t="str">
        <f aca="false">IF(C94="","",IFERROR(INDEX(Opportunities!$B:$B,MATCH(C94,Opportunities!$A:$A,0)),""))</f>
        <v/>
      </c>
    </row>
    <row r="95" customFormat="false" ht="15" hidden="false" customHeight="false" outlineLevel="0" collapsed="false">
      <c r="B95" s="3"/>
      <c r="D95" s="4" t="str">
        <f aca="false">IF(C95="","",IFERROR(INDEX(Opportunities!$B:$B,MATCH(C95,Opportunities!$A:$A,0)),""))</f>
        <v/>
      </c>
    </row>
    <row r="96" customFormat="false" ht="15" hidden="false" customHeight="false" outlineLevel="0" collapsed="false">
      <c r="B96" s="3"/>
      <c r="D96" s="4" t="str">
        <f aca="false">IF(C96="","",IFERROR(INDEX(Opportunities!$B:$B,MATCH(C96,Opportunities!$A:$A,0)),""))</f>
        <v/>
      </c>
    </row>
    <row r="97" customFormat="false" ht="15" hidden="false" customHeight="false" outlineLevel="0" collapsed="false">
      <c r="B97" s="3"/>
      <c r="D97" s="4" t="str">
        <f aca="false">IF(C97="","",IFERROR(INDEX(Opportunities!$B:$B,MATCH(C97,Opportunities!$A:$A,0)),""))</f>
        <v/>
      </c>
    </row>
    <row r="98" customFormat="false" ht="15" hidden="false" customHeight="false" outlineLevel="0" collapsed="false">
      <c r="B98" s="3"/>
      <c r="D98" s="4" t="str">
        <f aca="false">IF(C98="","",IFERROR(INDEX(Opportunities!$B:$B,MATCH(C98,Opportunities!$A:$A,0)),""))</f>
        <v/>
      </c>
    </row>
    <row r="99" customFormat="false" ht="15" hidden="false" customHeight="false" outlineLevel="0" collapsed="false">
      <c r="B99" s="3"/>
      <c r="D99" s="4" t="str">
        <f aca="false">IF(C99="","",IFERROR(INDEX(Opportunities!$B:$B,MATCH(C99,Opportunities!$A:$A,0)),""))</f>
        <v/>
      </c>
    </row>
    <row r="100" customFormat="false" ht="15" hidden="false" customHeight="false" outlineLevel="0" collapsed="false">
      <c r="B100" s="3"/>
      <c r="D100" s="4" t="str">
        <f aca="false">IF(C100="","",IFERROR(INDEX(Opportunities!$B:$B,MATCH(C100,Opportunities!$A:$A,0)),""))</f>
        <v/>
      </c>
    </row>
    <row r="101" customFormat="false" ht="15" hidden="false" customHeight="false" outlineLevel="0" collapsed="false">
      <c r="B101" s="3"/>
      <c r="D101" s="4" t="str">
        <f aca="false">IF(C101="","",IFERROR(INDEX(Opportunities!$B:$B,MATCH(C101,Opportunities!$A:$A,0)),""))</f>
        <v/>
      </c>
    </row>
    <row r="102" customFormat="false" ht="15" hidden="false" customHeight="false" outlineLevel="0" collapsed="false">
      <c r="B102" s="3"/>
      <c r="D102" s="4" t="str">
        <f aca="false">IF(C102="","",IFERROR(INDEX(Opportunities!$B:$B,MATCH(C102,Opportunities!$A:$A,0)),""))</f>
        <v/>
      </c>
    </row>
    <row r="103" customFormat="false" ht="15" hidden="false" customHeight="false" outlineLevel="0" collapsed="false">
      <c r="B103" s="3"/>
      <c r="D103" s="4" t="str">
        <f aca="false">IF(C103="","",IFERROR(INDEX(Opportunities!$B:$B,MATCH(C103,Opportunities!$A:$A,0)),""))</f>
        <v/>
      </c>
    </row>
    <row r="104" customFormat="false" ht="15" hidden="false" customHeight="false" outlineLevel="0" collapsed="false">
      <c r="B104" s="3"/>
      <c r="D104" s="4" t="str">
        <f aca="false">IF(C104="","",IFERROR(INDEX(Opportunities!$B:$B,MATCH(C104,Opportunities!$A:$A,0)),""))</f>
        <v/>
      </c>
    </row>
    <row r="105" customFormat="false" ht="15" hidden="false" customHeight="false" outlineLevel="0" collapsed="false">
      <c r="B105" s="3"/>
      <c r="D105" s="4" t="str">
        <f aca="false">IF(C105="","",IFERROR(INDEX(Opportunities!$B:$B,MATCH(C105,Opportunities!$A:$A,0)),""))</f>
        <v/>
      </c>
    </row>
    <row r="106" customFormat="false" ht="15" hidden="false" customHeight="false" outlineLevel="0" collapsed="false">
      <c r="B106" s="3"/>
      <c r="D106" s="4" t="str">
        <f aca="false">IF(C106="","",IFERROR(INDEX(Opportunities!$B:$B,MATCH(C106,Opportunities!$A:$A,0)),""))</f>
        <v/>
      </c>
    </row>
    <row r="107" customFormat="false" ht="15" hidden="false" customHeight="false" outlineLevel="0" collapsed="false">
      <c r="B107" s="3"/>
      <c r="D107" s="4" t="str">
        <f aca="false">IF(C107="","",IFERROR(INDEX(Opportunities!$B:$B,MATCH(C107,Opportunities!$A:$A,0)),""))</f>
        <v/>
      </c>
    </row>
    <row r="108" customFormat="false" ht="15" hidden="false" customHeight="false" outlineLevel="0" collapsed="false">
      <c r="B108" s="3"/>
      <c r="D108" s="4" t="str">
        <f aca="false">IF(C108="","",IFERROR(INDEX(Opportunities!$B:$B,MATCH(C108,Opportunities!$A:$A,0)),""))</f>
        <v/>
      </c>
    </row>
    <row r="109" customFormat="false" ht="15" hidden="false" customHeight="false" outlineLevel="0" collapsed="false">
      <c r="B109" s="3"/>
      <c r="D109" s="4" t="str">
        <f aca="false">IF(C109="","",IFERROR(INDEX(Opportunities!$B:$B,MATCH(C109,Opportunities!$A:$A,0)),""))</f>
        <v/>
      </c>
    </row>
    <row r="110" customFormat="false" ht="15" hidden="false" customHeight="false" outlineLevel="0" collapsed="false">
      <c r="B110" s="3"/>
      <c r="D110" s="4" t="str">
        <f aca="false">IF(C110="","",IFERROR(INDEX(Opportunities!$B:$B,MATCH(C110,Opportunities!$A:$A,0)),""))</f>
        <v/>
      </c>
    </row>
    <row r="111" customFormat="false" ht="15" hidden="false" customHeight="false" outlineLevel="0" collapsed="false">
      <c r="B111" s="3"/>
      <c r="D111" s="4" t="str">
        <f aca="false">IF(C111="","",IFERROR(INDEX(Opportunities!$B:$B,MATCH(C111,Opportunities!$A:$A,0)),""))</f>
        <v/>
      </c>
    </row>
    <row r="112" customFormat="false" ht="15" hidden="false" customHeight="false" outlineLevel="0" collapsed="false">
      <c r="B112" s="3"/>
      <c r="D112" s="4" t="str">
        <f aca="false">IF(C112="","",IFERROR(INDEX(Opportunities!$B:$B,MATCH(C112,Opportunities!$A:$A,0)),""))</f>
        <v/>
      </c>
    </row>
    <row r="113" customFormat="false" ht="15" hidden="false" customHeight="false" outlineLevel="0" collapsed="false">
      <c r="B113" s="3"/>
      <c r="D113" s="4" t="str">
        <f aca="false">IF(C113="","",IFERROR(INDEX(Opportunities!$B:$B,MATCH(C113,Opportunities!$A:$A,0)),""))</f>
        <v/>
      </c>
    </row>
    <row r="114" customFormat="false" ht="15" hidden="false" customHeight="false" outlineLevel="0" collapsed="false">
      <c r="B114" s="3"/>
      <c r="D114" s="4" t="str">
        <f aca="false">IF(C114="","",IFERROR(INDEX(Opportunities!$B:$B,MATCH(C114,Opportunities!$A:$A,0)),""))</f>
        <v/>
      </c>
    </row>
    <row r="115" customFormat="false" ht="15" hidden="false" customHeight="false" outlineLevel="0" collapsed="false">
      <c r="B115" s="3"/>
      <c r="D115" s="4" t="str">
        <f aca="false">IF(C115="","",IFERROR(INDEX(Opportunities!$B:$B,MATCH(C115,Opportunities!$A:$A,0)),""))</f>
        <v/>
      </c>
    </row>
    <row r="116" customFormat="false" ht="15" hidden="false" customHeight="false" outlineLevel="0" collapsed="false">
      <c r="B116" s="3"/>
      <c r="D116" s="4" t="str">
        <f aca="false">IF(C116="","",IFERROR(INDEX(Opportunities!$B:$B,MATCH(C116,Opportunities!$A:$A,0)),""))</f>
        <v/>
      </c>
    </row>
    <row r="117" customFormat="false" ht="15" hidden="false" customHeight="false" outlineLevel="0" collapsed="false">
      <c r="B117" s="3"/>
      <c r="D117" s="4" t="str">
        <f aca="false">IF(C117="","",IFERROR(INDEX(Opportunities!$B:$B,MATCH(C117,Opportunities!$A:$A,0)),""))</f>
        <v/>
      </c>
    </row>
    <row r="118" customFormat="false" ht="15" hidden="false" customHeight="false" outlineLevel="0" collapsed="false">
      <c r="B118" s="3"/>
      <c r="D118" s="4" t="str">
        <f aca="false">IF(C118="","",IFERROR(INDEX(Opportunities!$B:$B,MATCH(C118,Opportunities!$A:$A,0)),""))</f>
        <v/>
      </c>
    </row>
    <row r="119" customFormat="false" ht="15" hidden="false" customHeight="false" outlineLevel="0" collapsed="false">
      <c r="B119" s="3"/>
      <c r="D119" s="4" t="str">
        <f aca="false">IF(C119="","",IFERROR(INDEX(Opportunities!$B:$B,MATCH(C119,Opportunities!$A:$A,0)),""))</f>
        <v/>
      </c>
    </row>
    <row r="120" customFormat="false" ht="15" hidden="false" customHeight="false" outlineLevel="0" collapsed="false">
      <c r="B120" s="3"/>
      <c r="D120" s="4" t="str">
        <f aca="false">IF(C120="","",IFERROR(INDEX(Opportunities!$B:$B,MATCH(C120,Opportunities!$A:$A,0)),""))</f>
        <v/>
      </c>
    </row>
    <row r="121" customFormat="false" ht="15" hidden="false" customHeight="false" outlineLevel="0" collapsed="false">
      <c r="B121" s="3"/>
      <c r="D121" s="4" t="str">
        <f aca="false">IF(C121="","",IFERROR(INDEX(Opportunities!$B:$B,MATCH(C121,Opportunities!$A:$A,0)),""))</f>
        <v/>
      </c>
    </row>
    <row r="122" customFormat="false" ht="15" hidden="false" customHeight="false" outlineLevel="0" collapsed="false">
      <c r="B122" s="3"/>
      <c r="D122" s="4" t="str">
        <f aca="false">IF(C122="","",IFERROR(INDEX(Opportunities!$B:$B,MATCH(C122,Opportunities!$A:$A,0)),""))</f>
        <v/>
      </c>
    </row>
    <row r="123" customFormat="false" ht="15" hidden="false" customHeight="false" outlineLevel="0" collapsed="false">
      <c r="B123" s="3"/>
      <c r="D123" s="4" t="str">
        <f aca="false">IF(C123="","",IFERROR(INDEX(Opportunities!$B:$B,MATCH(C123,Opportunities!$A:$A,0)),""))</f>
        <v/>
      </c>
    </row>
    <row r="124" customFormat="false" ht="15" hidden="false" customHeight="false" outlineLevel="0" collapsed="false">
      <c r="B124" s="3"/>
      <c r="D124" s="4" t="str">
        <f aca="false">IF(C124="","",IFERROR(INDEX(Opportunities!$B:$B,MATCH(C124,Opportunities!$A:$A,0)),""))</f>
        <v/>
      </c>
    </row>
    <row r="125" customFormat="false" ht="15" hidden="false" customHeight="false" outlineLevel="0" collapsed="false">
      <c r="B125" s="3"/>
      <c r="D125" s="4" t="str">
        <f aca="false">IF(C125="","",IFERROR(INDEX(Opportunities!$B:$B,MATCH(C125,Opportunities!$A:$A,0)),""))</f>
        <v/>
      </c>
    </row>
    <row r="126" customFormat="false" ht="15" hidden="false" customHeight="false" outlineLevel="0" collapsed="false">
      <c r="B126" s="3"/>
      <c r="D126" s="4" t="str">
        <f aca="false">IF(C126="","",IFERROR(INDEX(Opportunities!$B:$B,MATCH(C126,Opportunities!$A:$A,0)),""))</f>
        <v/>
      </c>
    </row>
    <row r="127" customFormat="false" ht="15" hidden="false" customHeight="false" outlineLevel="0" collapsed="false">
      <c r="B127" s="3"/>
      <c r="D127" s="4" t="str">
        <f aca="false">IF(C127="","",IFERROR(INDEX(Opportunities!$B:$B,MATCH(C127,Opportunities!$A:$A,0)),""))</f>
        <v/>
      </c>
    </row>
    <row r="128" customFormat="false" ht="15" hidden="false" customHeight="false" outlineLevel="0" collapsed="false">
      <c r="B128" s="3"/>
      <c r="D128" s="4" t="str">
        <f aca="false">IF(C128="","",IFERROR(INDEX(Opportunities!$B:$B,MATCH(C128,Opportunities!$A:$A,0)),""))</f>
        <v/>
      </c>
    </row>
    <row r="129" customFormat="false" ht="15" hidden="false" customHeight="false" outlineLevel="0" collapsed="false">
      <c r="B129" s="3"/>
      <c r="D129" s="4" t="str">
        <f aca="false">IF(C129="","",IFERROR(INDEX(Opportunities!$B:$B,MATCH(C129,Opportunities!$A:$A,0)),""))</f>
        <v/>
      </c>
    </row>
    <row r="130" customFormat="false" ht="15" hidden="false" customHeight="false" outlineLevel="0" collapsed="false">
      <c r="B130" s="3"/>
      <c r="D130" s="4" t="str">
        <f aca="false">IF(C130="","",IFERROR(INDEX(Opportunities!$B:$B,MATCH(C130,Opportunities!$A:$A,0)),""))</f>
        <v/>
      </c>
    </row>
    <row r="131" customFormat="false" ht="15" hidden="false" customHeight="false" outlineLevel="0" collapsed="false">
      <c r="B131" s="3"/>
      <c r="D131" s="4" t="str">
        <f aca="false">IF(C131="","",IFERROR(INDEX(Opportunities!$B:$B,MATCH(C131,Opportunities!$A:$A,0)),""))</f>
        <v/>
      </c>
    </row>
    <row r="132" customFormat="false" ht="15" hidden="false" customHeight="false" outlineLevel="0" collapsed="false">
      <c r="B132" s="3"/>
      <c r="D132" s="4" t="str">
        <f aca="false">IF(C132="","",IFERROR(INDEX(Opportunities!$B:$B,MATCH(C132,Opportunities!$A:$A,0)),""))</f>
        <v/>
      </c>
    </row>
    <row r="133" customFormat="false" ht="15" hidden="false" customHeight="false" outlineLevel="0" collapsed="false">
      <c r="B133" s="3"/>
      <c r="D133" s="4" t="str">
        <f aca="false">IF(C133="","",IFERROR(INDEX(Opportunities!$B:$B,MATCH(C133,Opportunities!$A:$A,0)),""))</f>
        <v/>
      </c>
    </row>
    <row r="134" customFormat="false" ht="15" hidden="false" customHeight="false" outlineLevel="0" collapsed="false">
      <c r="B134" s="3"/>
      <c r="D134" s="4" t="str">
        <f aca="false">IF(C134="","",IFERROR(INDEX(Opportunities!$B:$B,MATCH(C134,Opportunities!$A:$A,0)),""))</f>
        <v/>
      </c>
    </row>
    <row r="135" customFormat="false" ht="15" hidden="false" customHeight="false" outlineLevel="0" collapsed="false">
      <c r="B135" s="3"/>
      <c r="D135" s="4" t="str">
        <f aca="false">IF(C135="","",IFERROR(INDEX(Opportunities!$B:$B,MATCH(C135,Opportunities!$A:$A,0)),""))</f>
        <v/>
      </c>
    </row>
    <row r="136" customFormat="false" ht="15" hidden="false" customHeight="false" outlineLevel="0" collapsed="false">
      <c r="B136" s="3"/>
      <c r="D136" s="4" t="str">
        <f aca="false">IF(C136="","",IFERROR(INDEX(Opportunities!$B:$B,MATCH(C136,Opportunities!$A:$A,0)),""))</f>
        <v/>
      </c>
    </row>
    <row r="137" customFormat="false" ht="15" hidden="false" customHeight="false" outlineLevel="0" collapsed="false">
      <c r="B137" s="3"/>
      <c r="D137" s="4" t="str">
        <f aca="false">IF(C137="","",IFERROR(INDEX(Opportunities!$B:$B,MATCH(C137,Opportunities!$A:$A,0)),""))</f>
        <v/>
      </c>
    </row>
    <row r="138" customFormat="false" ht="15" hidden="false" customHeight="false" outlineLevel="0" collapsed="false">
      <c r="B138" s="3"/>
      <c r="D138" s="4" t="str">
        <f aca="false">IF(C138="","",IFERROR(INDEX(Opportunities!$B:$B,MATCH(C138,Opportunities!$A:$A,0)),""))</f>
        <v/>
      </c>
    </row>
    <row r="139" customFormat="false" ht="15" hidden="false" customHeight="false" outlineLevel="0" collapsed="false">
      <c r="B139" s="3"/>
      <c r="D139" s="4" t="str">
        <f aca="false">IF(C139="","",IFERROR(INDEX(Opportunities!$B:$B,MATCH(C139,Opportunities!$A:$A,0)),""))</f>
        <v/>
      </c>
    </row>
    <row r="140" customFormat="false" ht="15" hidden="false" customHeight="false" outlineLevel="0" collapsed="false">
      <c r="B140" s="3"/>
      <c r="D140" s="4" t="str">
        <f aca="false">IF(C140="","",IFERROR(INDEX(Opportunities!$B:$B,MATCH(C140,Opportunities!$A:$A,0)),""))</f>
        <v/>
      </c>
    </row>
    <row r="141" customFormat="false" ht="15" hidden="false" customHeight="false" outlineLevel="0" collapsed="false">
      <c r="B141" s="3"/>
      <c r="D141" s="4" t="str">
        <f aca="false">IF(C141="","",IFERROR(INDEX(Opportunities!$B:$B,MATCH(C141,Opportunities!$A:$A,0)),""))</f>
        <v/>
      </c>
    </row>
    <row r="142" customFormat="false" ht="15" hidden="false" customHeight="false" outlineLevel="0" collapsed="false">
      <c r="B142" s="3"/>
      <c r="D142" s="4" t="str">
        <f aca="false">IF(C142="","",IFERROR(INDEX(Opportunities!$B:$B,MATCH(C142,Opportunities!$A:$A,0)),""))</f>
        <v/>
      </c>
    </row>
    <row r="143" customFormat="false" ht="15" hidden="false" customHeight="false" outlineLevel="0" collapsed="false">
      <c r="B143" s="3"/>
      <c r="D143" s="4" t="str">
        <f aca="false">IF(C143="","",IFERROR(INDEX(Opportunities!$B:$B,MATCH(C143,Opportunities!$A:$A,0)),""))</f>
        <v/>
      </c>
    </row>
    <row r="144" customFormat="false" ht="15" hidden="false" customHeight="false" outlineLevel="0" collapsed="false">
      <c r="B144" s="3"/>
      <c r="D144" s="4" t="str">
        <f aca="false">IF(C144="","",IFERROR(INDEX(Opportunities!$B:$B,MATCH(C144,Opportunities!$A:$A,0)),""))</f>
        <v/>
      </c>
    </row>
    <row r="145" customFormat="false" ht="15" hidden="false" customHeight="false" outlineLevel="0" collapsed="false">
      <c r="B145" s="3"/>
      <c r="D145" s="4" t="str">
        <f aca="false">IF(C145="","",IFERROR(INDEX(Opportunities!$B:$B,MATCH(C145,Opportunities!$A:$A,0)),""))</f>
        <v/>
      </c>
    </row>
    <row r="146" customFormat="false" ht="15" hidden="false" customHeight="false" outlineLevel="0" collapsed="false">
      <c r="B146" s="3"/>
      <c r="D146" s="4" t="str">
        <f aca="false">IF(C146="","",IFERROR(INDEX(Opportunities!$B:$B,MATCH(C146,Opportunities!$A:$A,0)),""))</f>
        <v/>
      </c>
    </row>
    <row r="147" customFormat="false" ht="15" hidden="false" customHeight="false" outlineLevel="0" collapsed="false">
      <c r="B147" s="3"/>
      <c r="D147" s="4" t="str">
        <f aca="false">IF(C147="","",IFERROR(INDEX(Opportunities!$B:$B,MATCH(C147,Opportunities!$A:$A,0)),""))</f>
        <v/>
      </c>
    </row>
    <row r="148" customFormat="false" ht="15" hidden="false" customHeight="false" outlineLevel="0" collapsed="false">
      <c r="B148" s="3"/>
      <c r="D148" s="4" t="str">
        <f aca="false">IF(C148="","",IFERROR(INDEX(Opportunities!$B:$B,MATCH(C148,Opportunities!$A:$A,0)),""))</f>
        <v/>
      </c>
    </row>
    <row r="149" customFormat="false" ht="15" hidden="false" customHeight="false" outlineLevel="0" collapsed="false">
      <c r="B149" s="3"/>
      <c r="D149" s="4" t="str">
        <f aca="false">IF(C149="","",IFERROR(INDEX(Opportunities!$B:$B,MATCH(C149,Opportunities!$A:$A,0)),""))</f>
        <v/>
      </c>
    </row>
    <row r="150" customFormat="false" ht="15" hidden="false" customHeight="false" outlineLevel="0" collapsed="false">
      <c r="B150" s="3"/>
      <c r="D150" s="4" t="str">
        <f aca="false">IF(C150="","",IFERROR(INDEX(Opportunities!$B:$B,MATCH(C150,Opportunities!$A:$A,0)),""))</f>
        <v/>
      </c>
    </row>
    <row r="151" customFormat="false" ht="15" hidden="false" customHeight="false" outlineLevel="0" collapsed="false">
      <c r="B151" s="3"/>
      <c r="D151" s="4" t="str">
        <f aca="false">IF(C151="","",IFERROR(INDEX(Opportunities!$B:$B,MATCH(C151,Opportunities!$A:$A,0)),""))</f>
        <v/>
      </c>
    </row>
    <row r="152" customFormat="false" ht="15" hidden="false" customHeight="false" outlineLevel="0" collapsed="false">
      <c r="B152" s="3"/>
      <c r="D152" s="4" t="str">
        <f aca="false">IF(C152="","",IFERROR(INDEX(Opportunities!$B:$B,MATCH(C152,Opportunities!$A:$A,0)),""))</f>
        <v/>
      </c>
    </row>
    <row r="153" customFormat="false" ht="15" hidden="false" customHeight="false" outlineLevel="0" collapsed="false">
      <c r="B153" s="3"/>
      <c r="D153" s="4" t="str">
        <f aca="false">IF(C153="","",IFERROR(INDEX(Opportunities!$B:$B,MATCH(C153,Opportunities!$A:$A,0)),""))</f>
        <v/>
      </c>
    </row>
    <row r="154" customFormat="false" ht="15" hidden="false" customHeight="false" outlineLevel="0" collapsed="false">
      <c r="B154" s="3"/>
      <c r="D154" s="4" t="str">
        <f aca="false">IF(C154="","",IFERROR(INDEX(Opportunities!$B:$B,MATCH(C154,Opportunities!$A:$A,0)),""))</f>
        <v/>
      </c>
    </row>
    <row r="155" customFormat="false" ht="15" hidden="false" customHeight="false" outlineLevel="0" collapsed="false">
      <c r="B155" s="3"/>
      <c r="D155" s="4" t="str">
        <f aca="false">IF(C155="","",IFERROR(INDEX(Opportunities!$B:$B,MATCH(C155,Opportunities!$A:$A,0)),""))</f>
        <v/>
      </c>
    </row>
    <row r="156" customFormat="false" ht="15" hidden="false" customHeight="false" outlineLevel="0" collapsed="false">
      <c r="B156" s="3"/>
      <c r="D156" s="4" t="str">
        <f aca="false">IF(C156="","",IFERROR(INDEX(Opportunities!$B:$B,MATCH(C156,Opportunities!$A:$A,0)),""))</f>
        <v/>
      </c>
    </row>
    <row r="157" customFormat="false" ht="15" hidden="false" customHeight="false" outlineLevel="0" collapsed="false">
      <c r="B157" s="3"/>
      <c r="D157" s="4" t="str">
        <f aca="false">IF(C157="","",IFERROR(INDEX(Opportunities!$B:$B,MATCH(C157,Opportunities!$A:$A,0)),""))</f>
        <v/>
      </c>
    </row>
    <row r="158" customFormat="false" ht="15" hidden="false" customHeight="false" outlineLevel="0" collapsed="false">
      <c r="B158" s="3"/>
      <c r="D158" s="4" t="str">
        <f aca="false">IF(C158="","",IFERROR(INDEX(Opportunities!$B:$B,MATCH(C158,Opportunities!$A:$A,0)),""))</f>
        <v/>
      </c>
    </row>
    <row r="159" customFormat="false" ht="15" hidden="false" customHeight="false" outlineLevel="0" collapsed="false">
      <c r="B159" s="3"/>
      <c r="D159" s="4" t="str">
        <f aca="false">IF(C159="","",IFERROR(INDEX(Opportunities!$B:$B,MATCH(C159,Opportunities!$A:$A,0)),""))</f>
        <v/>
      </c>
    </row>
    <row r="160" customFormat="false" ht="15" hidden="false" customHeight="false" outlineLevel="0" collapsed="false">
      <c r="B160" s="3"/>
      <c r="D160" s="4" t="str">
        <f aca="false">IF(C160="","",IFERROR(INDEX(Opportunities!$B:$B,MATCH(C160,Opportunities!$A:$A,0)),""))</f>
        <v/>
      </c>
    </row>
    <row r="161" customFormat="false" ht="15" hidden="false" customHeight="false" outlineLevel="0" collapsed="false">
      <c r="B161" s="3"/>
      <c r="D161" s="4" t="str">
        <f aca="false">IF(C161="","",IFERROR(INDEX(Opportunities!$B:$B,MATCH(C161,Opportunities!$A:$A,0)),""))</f>
        <v/>
      </c>
    </row>
    <row r="162" customFormat="false" ht="15" hidden="false" customHeight="false" outlineLevel="0" collapsed="false">
      <c r="B162" s="3"/>
      <c r="D162" s="4" t="str">
        <f aca="false">IF(C162="","",IFERROR(INDEX(Opportunities!$B:$B,MATCH(C162,Opportunities!$A:$A,0)),""))</f>
        <v/>
      </c>
    </row>
    <row r="163" customFormat="false" ht="15" hidden="false" customHeight="false" outlineLevel="0" collapsed="false">
      <c r="B163" s="3"/>
      <c r="D163" s="4" t="str">
        <f aca="false">IF(C163="","",IFERROR(INDEX(Opportunities!$B:$B,MATCH(C163,Opportunities!$A:$A,0)),""))</f>
        <v/>
      </c>
    </row>
    <row r="164" customFormat="false" ht="15" hidden="false" customHeight="false" outlineLevel="0" collapsed="false">
      <c r="B164" s="3"/>
      <c r="D164" s="4" t="str">
        <f aca="false">IF(C164="","",IFERROR(INDEX(Opportunities!$B:$B,MATCH(C164,Opportunities!$A:$A,0)),""))</f>
        <v/>
      </c>
    </row>
    <row r="165" customFormat="false" ht="15" hidden="false" customHeight="false" outlineLevel="0" collapsed="false">
      <c r="B165" s="3"/>
      <c r="D165" s="4" t="str">
        <f aca="false">IF(C165="","",IFERROR(INDEX(Opportunities!$B:$B,MATCH(C165,Opportunities!$A:$A,0)),""))</f>
        <v/>
      </c>
    </row>
    <row r="166" customFormat="false" ht="15" hidden="false" customHeight="false" outlineLevel="0" collapsed="false">
      <c r="B166" s="3"/>
      <c r="D166" s="4" t="str">
        <f aca="false">IF(C166="","",IFERROR(INDEX(Opportunities!$B:$B,MATCH(C166,Opportunities!$A:$A,0)),""))</f>
        <v/>
      </c>
    </row>
    <row r="167" customFormat="false" ht="15" hidden="false" customHeight="false" outlineLevel="0" collapsed="false">
      <c r="B167" s="3"/>
      <c r="D167" s="4" t="str">
        <f aca="false">IF(C167="","",IFERROR(INDEX(Opportunities!$B:$B,MATCH(C167,Opportunities!$A:$A,0)),""))</f>
        <v/>
      </c>
    </row>
    <row r="168" customFormat="false" ht="15" hidden="false" customHeight="false" outlineLevel="0" collapsed="false">
      <c r="B168" s="3"/>
      <c r="D168" s="4" t="str">
        <f aca="false">IF(C168="","",IFERROR(INDEX(Opportunities!$B:$B,MATCH(C168,Opportunities!$A:$A,0)),""))</f>
        <v/>
      </c>
    </row>
    <row r="169" customFormat="false" ht="15" hidden="false" customHeight="false" outlineLevel="0" collapsed="false">
      <c r="B169" s="3"/>
      <c r="D169" s="4" t="str">
        <f aca="false">IF(C169="","",IFERROR(INDEX(Opportunities!$B:$B,MATCH(C169,Opportunities!$A:$A,0)),""))</f>
        <v/>
      </c>
    </row>
    <row r="170" customFormat="false" ht="15" hidden="false" customHeight="false" outlineLevel="0" collapsed="false">
      <c r="B170" s="3"/>
      <c r="D170" s="4" t="str">
        <f aca="false">IF(C170="","",IFERROR(INDEX(Opportunities!$B:$B,MATCH(C170,Opportunities!$A:$A,0)),""))</f>
        <v/>
      </c>
    </row>
    <row r="171" customFormat="false" ht="15" hidden="false" customHeight="false" outlineLevel="0" collapsed="false">
      <c r="B171" s="3"/>
      <c r="D171" s="4" t="str">
        <f aca="false">IF(C171="","",IFERROR(INDEX(Opportunities!$B:$B,MATCH(C171,Opportunities!$A:$A,0)),""))</f>
        <v/>
      </c>
    </row>
    <row r="172" customFormat="false" ht="15" hidden="false" customHeight="false" outlineLevel="0" collapsed="false">
      <c r="B172" s="3"/>
      <c r="D172" s="4" t="str">
        <f aca="false">IF(C172="","",IFERROR(INDEX(Opportunities!$B:$B,MATCH(C172,Opportunities!$A:$A,0)),""))</f>
        <v/>
      </c>
    </row>
    <row r="173" customFormat="false" ht="15" hidden="false" customHeight="false" outlineLevel="0" collapsed="false">
      <c r="B173" s="3"/>
      <c r="D173" s="4" t="str">
        <f aca="false">IF(C173="","",IFERROR(INDEX(Opportunities!$B:$B,MATCH(C173,Opportunities!$A:$A,0)),""))</f>
        <v/>
      </c>
    </row>
    <row r="174" customFormat="false" ht="15" hidden="false" customHeight="false" outlineLevel="0" collapsed="false">
      <c r="B174" s="3"/>
      <c r="D174" s="4" t="str">
        <f aca="false">IF(C174="","",IFERROR(INDEX(Opportunities!$B:$B,MATCH(C174,Opportunities!$A:$A,0)),""))</f>
        <v/>
      </c>
    </row>
    <row r="175" customFormat="false" ht="15" hidden="false" customHeight="false" outlineLevel="0" collapsed="false">
      <c r="B175" s="3"/>
      <c r="D175" s="4" t="str">
        <f aca="false">IF(C175="","",IFERROR(INDEX(Opportunities!$B:$B,MATCH(C175,Opportunities!$A:$A,0)),""))</f>
        <v/>
      </c>
    </row>
    <row r="176" customFormat="false" ht="15" hidden="false" customHeight="false" outlineLevel="0" collapsed="false">
      <c r="B176" s="3"/>
      <c r="D176" s="4" t="str">
        <f aca="false">IF(C176="","",IFERROR(INDEX(Opportunities!$B:$B,MATCH(C176,Opportunities!$A:$A,0)),""))</f>
        <v/>
      </c>
    </row>
    <row r="177" customFormat="false" ht="15" hidden="false" customHeight="false" outlineLevel="0" collapsed="false">
      <c r="B177" s="3"/>
      <c r="D177" s="4" t="str">
        <f aca="false">IF(C177="","",IFERROR(INDEX(Opportunities!$B:$B,MATCH(C177,Opportunities!$A:$A,0)),""))</f>
        <v/>
      </c>
    </row>
    <row r="178" customFormat="false" ht="15" hidden="false" customHeight="false" outlineLevel="0" collapsed="false">
      <c r="B178" s="3"/>
      <c r="D178" s="4" t="str">
        <f aca="false">IF(C178="","",IFERROR(INDEX(Opportunities!$B:$B,MATCH(C178,Opportunities!$A:$A,0)),""))</f>
        <v/>
      </c>
    </row>
    <row r="179" customFormat="false" ht="15" hidden="false" customHeight="false" outlineLevel="0" collapsed="false">
      <c r="B179" s="3"/>
      <c r="D179" s="4" t="str">
        <f aca="false">IF(C179="","",IFERROR(INDEX(Opportunities!$B:$B,MATCH(C179,Opportunities!$A:$A,0)),""))</f>
        <v/>
      </c>
    </row>
    <row r="180" customFormat="false" ht="15" hidden="false" customHeight="false" outlineLevel="0" collapsed="false">
      <c r="B180" s="3"/>
      <c r="D180" s="4" t="str">
        <f aca="false">IF(C180="","",IFERROR(INDEX(Opportunities!$B:$B,MATCH(C180,Opportunities!$A:$A,0)),""))</f>
        <v/>
      </c>
    </row>
    <row r="181" customFormat="false" ht="15" hidden="false" customHeight="false" outlineLevel="0" collapsed="false">
      <c r="B181" s="3"/>
      <c r="D181" s="4" t="str">
        <f aca="false">IF(C181="","",IFERROR(INDEX(Opportunities!$B:$B,MATCH(C181,Opportunities!$A:$A,0)),""))</f>
        <v/>
      </c>
    </row>
    <row r="182" customFormat="false" ht="15" hidden="false" customHeight="false" outlineLevel="0" collapsed="false">
      <c r="B182" s="3"/>
      <c r="D182" s="4" t="str">
        <f aca="false">IF(C182="","",IFERROR(INDEX(Opportunities!$B:$B,MATCH(C182,Opportunities!$A:$A,0)),""))</f>
        <v/>
      </c>
    </row>
    <row r="183" customFormat="false" ht="15" hidden="false" customHeight="false" outlineLevel="0" collapsed="false">
      <c r="B183" s="3"/>
      <c r="D183" s="4" t="str">
        <f aca="false">IF(C183="","",IFERROR(INDEX(Opportunities!$B:$B,MATCH(C183,Opportunities!$A:$A,0)),""))</f>
        <v/>
      </c>
    </row>
    <row r="184" customFormat="false" ht="15" hidden="false" customHeight="false" outlineLevel="0" collapsed="false">
      <c r="B184" s="3"/>
      <c r="D184" s="4" t="str">
        <f aca="false">IF(C184="","",IFERROR(INDEX(Opportunities!$B:$B,MATCH(C184,Opportunities!$A:$A,0)),""))</f>
        <v/>
      </c>
    </row>
    <row r="185" customFormat="false" ht="15" hidden="false" customHeight="false" outlineLevel="0" collapsed="false">
      <c r="B185" s="3"/>
      <c r="D185" s="4" t="str">
        <f aca="false">IF(C185="","",IFERROR(INDEX(Opportunities!$B:$B,MATCH(C185,Opportunities!$A:$A,0)),""))</f>
        <v/>
      </c>
    </row>
    <row r="186" customFormat="false" ht="15" hidden="false" customHeight="false" outlineLevel="0" collapsed="false">
      <c r="B186" s="3"/>
      <c r="D186" s="4" t="str">
        <f aca="false">IF(C186="","",IFERROR(INDEX(Opportunities!$B:$B,MATCH(C186,Opportunities!$A:$A,0)),""))</f>
        <v/>
      </c>
    </row>
    <row r="187" customFormat="false" ht="15" hidden="false" customHeight="false" outlineLevel="0" collapsed="false">
      <c r="B187" s="3"/>
      <c r="D187" s="4" t="str">
        <f aca="false">IF(C187="","",IFERROR(INDEX(Opportunities!$B:$B,MATCH(C187,Opportunities!$A:$A,0)),""))</f>
        <v/>
      </c>
    </row>
    <row r="188" customFormat="false" ht="15" hidden="false" customHeight="false" outlineLevel="0" collapsed="false">
      <c r="B188" s="3"/>
      <c r="D188" s="4" t="str">
        <f aca="false">IF(C188="","",IFERROR(INDEX(Opportunities!$B:$B,MATCH(C188,Opportunities!$A:$A,0)),""))</f>
        <v/>
      </c>
    </row>
    <row r="189" customFormat="false" ht="15" hidden="false" customHeight="false" outlineLevel="0" collapsed="false">
      <c r="B189" s="3"/>
      <c r="D189" s="4" t="str">
        <f aca="false">IF(C189="","",IFERROR(INDEX(Opportunities!$B:$B,MATCH(C189,Opportunities!$A:$A,0)),""))</f>
        <v/>
      </c>
    </row>
    <row r="190" customFormat="false" ht="15" hidden="false" customHeight="false" outlineLevel="0" collapsed="false">
      <c r="B190" s="3"/>
      <c r="D190" s="4" t="str">
        <f aca="false">IF(C190="","",IFERROR(INDEX(Opportunities!$B:$B,MATCH(C190,Opportunities!$A:$A,0)),""))</f>
        <v/>
      </c>
    </row>
    <row r="191" customFormat="false" ht="15" hidden="false" customHeight="false" outlineLevel="0" collapsed="false">
      <c r="B191" s="3"/>
      <c r="D191" s="4" t="str">
        <f aca="false">IF(C191="","",IFERROR(INDEX(Opportunities!$B:$B,MATCH(C191,Opportunities!$A:$A,0)),""))</f>
        <v/>
      </c>
    </row>
    <row r="192" customFormat="false" ht="15" hidden="false" customHeight="false" outlineLevel="0" collapsed="false">
      <c r="B192" s="3"/>
      <c r="D192" s="4" t="str">
        <f aca="false">IF(C192="","",IFERROR(INDEX(Opportunities!$B:$B,MATCH(C192,Opportunities!$A:$A,0)),""))</f>
        <v/>
      </c>
    </row>
    <row r="193" customFormat="false" ht="15" hidden="false" customHeight="false" outlineLevel="0" collapsed="false">
      <c r="B193" s="3"/>
      <c r="D193" s="4" t="str">
        <f aca="false">IF(C193="","",IFERROR(INDEX(Opportunities!$B:$B,MATCH(C193,Opportunities!$A:$A,0)),""))</f>
        <v/>
      </c>
    </row>
    <row r="194" customFormat="false" ht="15" hidden="false" customHeight="false" outlineLevel="0" collapsed="false">
      <c r="B194" s="3"/>
      <c r="D194" s="4" t="str">
        <f aca="false">IF(C194="","",IFERROR(INDEX(Opportunities!$B:$B,MATCH(C194,Opportunities!$A:$A,0)),""))</f>
        <v/>
      </c>
    </row>
    <row r="195" customFormat="false" ht="15" hidden="false" customHeight="false" outlineLevel="0" collapsed="false">
      <c r="B195" s="3"/>
      <c r="D195" s="4" t="str">
        <f aca="false">IF(C195="","",IFERROR(INDEX(Opportunities!$B:$B,MATCH(C195,Opportunities!$A:$A,0)),""))</f>
        <v/>
      </c>
    </row>
    <row r="196" customFormat="false" ht="15" hidden="false" customHeight="false" outlineLevel="0" collapsed="false">
      <c r="B196" s="3"/>
      <c r="D196" s="4" t="str">
        <f aca="false">IF(C196="","",IFERROR(INDEX(Opportunities!$B:$B,MATCH(C196,Opportunities!$A:$A,0)),""))</f>
        <v/>
      </c>
    </row>
    <row r="197" customFormat="false" ht="15" hidden="false" customHeight="false" outlineLevel="0" collapsed="false">
      <c r="B197" s="3"/>
      <c r="D197" s="4" t="str">
        <f aca="false">IF(C197="","",IFERROR(INDEX(Opportunities!$B:$B,MATCH(C197,Opportunities!$A:$A,0)),""))</f>
        <v/>
      </c>
    </row>
    <row r="198" customFormat="false" ht="15" hidden="false" customHeight="false" outlineLevel="0" collapsed="false">
      <c r="B198" s="3"/>
      <c r="D198" s="4" t="str">
        <f aca="false">IF(C198="","",IFERROR(INDEX(Opportunities!$B:$B,MATCH(C198,Opportunities!$A:$A,0)),""))</f>
        <v/>
      </c>
    </row>
    <row r="199" customFormat="false" ht="15" hidden="false" customHeight="false" outlineLevel="0" collapsed="false">
      <c r="B199" s="3"/>
      <c r="D199" s="4" t="str">
        <f aca="false">IF(C199="","",IFERROR(INDEX(Opportunities!$B:$B,MATCH(C199,Opportunities!$A:$A,0)),""))</f>
        <v/>
      </c>
    </row>
    <row r="200" customFormat="false" ht="15" hidden="false" customHeight="false" outlineLevel="0" collapsed="false">
      <c r="B200" s="3"/>
      <c r="D200" s="4" t="str">
        <f aca="false">IF(C200="","",IFERROR(INDEX(Opportunities!$B:$B,MATCH(C200,Opportunities!$A:$A,0)),""))</f>
        <v/>
      </c>
    </row>
    <row r="201" customFormat="false" ht="15" hidden="false" customHeight="false" outlineLevel="0" collapsed="false">
      <c r="B201" s="3"/>
      <c r="D201" s="4" t="str">
        <f aca="false">IF(C201="","",IFERROR(INDEX(Opportunities!$B:$B,MATCH(C201,Opportunities!$A:$A,0)),""))</f>
        <v/>
      </c>
    </row>
    <row r="202" customFormat="false" ht="15" hidden="false" customHeight="false" outlineLevel="0" collapsed="false">
      <c r="B202" s="3"/>
      <c r="D202" s="4" t="str">
        <f aca="false">IF(C202="","",IFERROR(INDEX(Opportunities!$B:$B,MATCH(C202,Opportunities!$A:$A,0)),""))</f>
        <v/>
      </c>
    </row>
    <row r="203" customFormat="false" ht="15" hidden="false" customHeight="false" outlineLevel="0" collapsed="false">
      <c r="B203" s="3"/>
      <c r="D203" s="4" t="str">
        <f aca="false">IF(C203="","",IFERROR(INDEX(Opportunities!$B:$B,MATCH(C203,Opportunities!$A:$A,0)),""))</f>
        <v/>
      </c>
    </row>
    <row r="204" customFormat="false" ht="15" hidden="false" customHeight="false" outlineLevel="0" collapsed="false">
      <c r="B204" s="3"/>
      <c r="D204" s="4" t="str">
        <f aca="false">IF(C204="","",IFERROR(INDEX(Opportunities!$B:$B,MATCH(C204,Opportunities!$A:$A,0)),""))</f>
        <v/>
      </c>
    </row>
    <row r="205" customFormat="false" ht="15" hidden="false" customHeight="false" outlineLevel="0" collapsed="false">
      <c r="B205" s="3"/>
      <c r="D205" s="4" t="str">
        <f aca="false">IF(C205="","",IFERROR(INDEX(Opportunities!$B:$B,MATCH(C205,Opportunities!$A:$A,0)),""))</f>
        <v/>
      </c>
    </row>
    <row r="206" customFormat="false" ht="15" hidden="false" customHeight="false" outlineLevel="0" collapsed="false">
      <c r="B206" s="3"/>
      <c r="D206" s="4" t="str">
        <f aca="false">IF(C206="","",IFERROR(INDEX(Opportunities!$B:$B,MATCH(C206,Opportunities!$A:$A,0)),""))</f>
        <v/>
      </c>
    </row>
    <row r="207" customFormat="false" ht="15" hidden="false" customHeight="false" outlineLevel="0" collapsed="false">
      <c r="B207" s="3"/>
      <c r="D207" s="4" t="str">
        <f aca="false">IF(C207="","",IFERROR(INDEX(Opportunities!$B:$B,MATCH(C207,Opportunities!$A:$A,0)),""))</f>
        <v/>
      </c>
    </row>
    <row r="208" customFormat="false" ht="15" hidden="false" customHeight="false" outlineLevel="0" collapsed="false">
      <c r="B208" s="3"/>
      <c r="D208" s="4" t="str">
        <f aca="false">IF(C208="","",IFERROR(INDEX(Opportunities!$B:$B,MATCH(C208,Opportunities!$A:$A,0)),""))</f>
        <v/>
      </c>
    </row>
    <row r="209" customFormat="false" ht="15" hidden="false" customHeight="false" outlineLevel="0" collapsed="false">
      <c r="B209" s="3"/>
      <c r="D209" s="4" t="str">
        <f aca="false">IF(C209="","",IFERROR(INDEX(Opportunities!$B:$B,MATCH(C209,Opportunities!$A:$A,0)),""))</f>
        <v/>
      </c>
    </row>
    <row r="210" customFormat="false" ht="15" hidden="false" customHeight="false" outlineLevel="0" collapsed="false">
      <c r="B210" s="3"/>
      <c r="D210" s="4" t="str">
        <f aca="false">IF(C210="","",IFERROR(INDEX(Opportunities!$B:$B,MATCH(C210,Opportunities!$A:$A,0)),""))</f>
        <v/>
      </c>
    </row>
    <row r="211" customFormat="false" ht="15" hidden="false" customHeight="false" outlineLevel="0" collapsed="false">
      <c r="B211" s="3"/>
      <c r="D211" s="4" t="str">
        <f aca="false">IF(C211="","",IFERROR(INDEX(Opportunities!$B:$B,MATCH(C211,Opportunities!$A:$A,0)),""))</f>
        <v/>
      </c>
    </row>
    <row r="212" customFormat="false" ht="15" hidden="false" customHeight="false" outlineLevel="0" collapsed="false">
      <c r="B212" s="3"/>
      <c r="D212" s="4" t="str">
        <f aca="false">IF(C212="","",IFERROR(INDEX(Opportunities!$B:$B,MATCH(C212,Opportunities!$A:$A,0)),""))</f>
        <v/>
      </c>
    </row>
    <row r="213" customFormat="false" ht="15" hidden="false" customHeight="false" outlineLevel="0" collapsed="false">
      <c r="B213" s="3"/>
      <c r="D213" s="4" t="str">
        <f aca="false">IF(C213="","",IFERROR(INDEX(Opportunities!$B:$B,MATCH(C213,Opportunities!$A:$A,0)),""))</f>
        <v/>
      </c>
    </row>
    <row r="214" customFormat="false" ht="15" hidden="false" customHeight="false" outlineLevel="0" collapsed="false">
      <c r="B214" s="3"/>
      <c r="D214" s="4" t="str">
        <f aca="false">IF(C214="","",IFERROR(INDEX(Opportunities!$B:$B,MATCH(C214,Opportunities!$A:$A,0)),""))</f>
        <v/>
      </c>
    </row>
    <row r="215" customFormat="false" ht="15" hidden="false" customHeight="false" outlineLevel="0" collapsed="false">
      <c r="B215" s="3"/>
      <c r="D215" s="4" t="str">
        <f aca="false">IF(C215="","",IFERROR(INDEX(Opportunities!$B:$B,MATCH(C215,Opportunities!$A:$A,0)),""))</f>
        <v/>
      </c>
    </row>
    <row r="216" customFormat="false" ht="15" hidden="false" customHeight="false" outlineLevel="0" collapsed="false">
      <c r="B216" s="3"/>
      <c r="D216" s="4" t="str">
        <f aca="false">IF(C216="","",IFERROR(INDEX(Opportunities!$B:$B,MATCH(C216,Opportunities!$A:$A,0)),""))</f>
        <v/>
      </c>
    </row>
    <row r="217" customFormat="false" ht="15" hidden="false" customHeight="false" outlineLevel="0" collapsed="false">
      <c r="B217" s="3"/>
      <c r="D217" s="4" t="str">
        <f aca="false">IF(C217="","",IFERROR(INDEX(Opportunities!$B:$B,MATCH(C217,Opportunities!$A:$A,0)),""))</f>
        <v/>
      </c>
    </row>
    <row r="218" customFormat="false" ht="15" hidden="false" customHeight="false" outlineLevel="0" collapsed="false">
      <c r="B218" s="3"/>
      <c r="D218" s="4" t="str">
        <f aca="false">IF(C218="","",IFERROR(INDEX(Opportunities!$B:$B,MATCH(C218,Opportunities!$A:$A,0)),""))</f>
        <v/>
      </c>
    </row>
    <row r="219" customFormat="false" ht="15" hidden="false" customHeight="false" outlineLevel="0" collapsed="false">
      <c r="B219" s="3"/>
      <c r="D219" s="4" t="str">
        <f aca="false">IF(C219="","",IFERROR(INDEX(Opportunities!$B:$B,MATCH(C219,Opportunities!$A:$A,0)),""))</f>
        <v/>
      </c>
    </row>
    <row r="220" customFormat="false" ht="15" hidden="false" customHeight="false" outlineLevel="0" collapsed="false">
      <c r="B220" s="3"/>
      <c r="D220" s="4" t="str">
        <f aca="false">IF(C220="","",IFERROR(INDEX(Opportunities!$B:$B,MATCH(C220,Opportunities!$A:$A,0)),""))</f>
        <v/>
      </c>
    </row>
    <row r="221" customFormat="false" ht="15" hidden="false" customHeight="false" outlineLevel="0" collapsed="false">
      <c r="B221" s="3"/>
      <c r="D221" s="4" t="str">
        <f aca="false">IF(C221="","",IFERROR(INDEX(Opportunities!$B:$B,MATCH(C221,Opportunities!$A:$A,0)),""))</f>
        <v/>
      </c>
    </row>
    <row r="222" customFormat="false" ht="15" hidden="false" customHeight="false" outlineLevel="0" collapsed="false">
      <c r="B222" s="3"/>
      <c r="D222" s="4" t="str">
        <f aca="false">IF(C222="","",IFERROR(INDEX(Opportunities!$B:$B,MATCH(C222,Opportunities!$A:$A,0)),""))</f>
        <v/>
      </c>
    </row>
    <row r="223" customFormat="false" ht="15" hidden="false" customHeight="false" outlineLevel="0" collapsed="false">
      <c r="B223" s="3"/>
      <c r="D223" s="4" t="str">
        <f aca="false">IF(C223="","",IFERROR(INDEX(Opportunities!$B:$B,MATCH(C223,Opportunities!$A:$A,0)),""))</f>
        <v/>
      </c>
    </row>
    <row r="224" customFormat="false" ht="15" hidden="false" customHeight="false" outlineLevel="0" collapsed="false">
      <c r="B224" s="3"/>
      <c r="D224" s="4" t="str">
        <f aca="false">IF(C224="","",IFERROR(INDEX(Opportunities!$B:$B,MATCH(C224,Opportunities!$A:$A,0)),""))</f>
        <v/>
      </c>
    </row>
    <row r="225" customFormat="false" ht="15" hidden="false" customHeight="false" outlineLevel="0" collapsed="false">
      <c r="B225" s="3"/>
      <c r="D225" s="4" t="str">
        <f aca="false">IF(C225="","",IFERROR(INDEX(Opportunities!$B:$B,MATCH(C225,Opportunities!$A:$A,0)),""))</f>
        <v/>
      </c>
    </row>
    <row r="226" customFormat="false" ht="15" hidden="false" customHeight="false" outlineLevel="0" collapsed="false">
      <c r="B226" s="3"/>
      <c r="D226" s="4" t="str">
        <f aca="false">IF(C226="","",IFERROR(INDEX(Opportunities!$B:$B,MATCH(C226,Opportunities!$A:$A,0)),""))</f>
        <v/>
      </c>
    </row>
    <row r="227" customFormat="false" ht="15" hidden="false" customHeight="false" outlineLevel="0" collapsed="false">
      <c r="B227" s="3"/>
      <c r="D227" s="4" t="str">
        <f aca="false">IF(C227="","",IFERROR(INDEX(Opportunities!$B:$B,MATCH(C227,Opportunities!$A:$A,0)),""))</f>
        <v/>
      </c>
    </row>
    <row r="228" customFormat="false" ht="15" hidden="false" customHeight="false" outlineLevel="0" collapsed="false">
      <c r="B228" s="3"/>
      <c r="D228" s="4" t="str">
        <f aca="false">IF(C228="","",IFERROR(INDEX(Opportunities!$B:$B,MATCH(C228,Opportunities!$A:$A,0)),""))</f>
        <v/>
      </c>
    </row>
    <row r="229" customFormat="false" ht="15" hidden="false" customHeight="false" outlineLevel="0" collapsed="false">
      <c r="B229" s="3"/>
      <c r="D229" s="4" t="str">
        <f aca="false">IF(C229="","",IFERROR(INDEX(Opportunities!$B:$B,MATCH(C229,Opportunities!$A:$A,0)),""))</f>
        <v/>
      </c>
    </row>
    <row r="230" customFormat="false" ht="15" hidden="false" customHeight="false" outlineLevel="0" collapsed="false">
      <c r="B230" s="3"/>
      <c r="D230" s="4" t="str">
        <f aca="false">IF(C230="","",IFERROR(INDEX(Opportunities!$B:$B,MATCH(C230,Opportunities!$A:$A,0)),""))</f>
        <v/>
      </c>
    </row>
    <row r="231" customFormat="false" ht="15" hidden="false" customHeight="false" outlineLevel="0" collapsed="false">
      <c r="B231" s="3"/>
      <c r="D231" s="4" t="str">
        <f aca="false">IF(C231="","",IFERROR(INDEX(Opportunities!$B:$B,MATCH(C231,Opportunities!$A:$A,0)),""))</f>
        <v/>
      </c>
    </row>
    <row r="232" customFormat="false" ht="15" hidden="false" customHeight="false" outlineLevel="0" collapsed="false">
      <c r="B232" s="3"/>
      <c r="D232" s="4" t="str">
        <f aca="false">IF(C232="","",IFERROR(INDEX(Opportunities!$B:$B,MATCH(C232,Opportunities!$A:$A,0)),""))</f>
        <v/>
      </c>
    </row>
    <row r="233" customFormat="false" ht="15" hidden="false" customHeight="false" outlineLevel="0" collapsed="false">
      <c r="B233" s="3"/>
      <c r="D233" s="4" t="str">
        <f aca="false">IF(C233="","",IFERROR(INDEX(Opportunities!$B:$B,MATCH(C233,Opportunities!$A:$A,0)),""))</f>
        <v/>
      </c>
    </row>
    <row r="234" customFormat="false" ht="15" hidden="false" customHeight="false" outlineLevel="0" collapsed="false">
      <c r="B234" s="3"/>
      <c r="D234" s="4" t="str">
        <f aca="false">IF(C234="","",IFERROR(INDEX(Opportunities!$B:$B,MATCH(C234,Opportunities!$A:$A,0)),""))</f>
        <v/>
      </c>
    </row>
    <row r="235" customFormat="false" ht="15" hidden="false" customHeight="false" outlineLevel="0" collapsed="false">
      <c r="B235" s="3"/>
      <c r="D235" s="4" t="str">
        <f aca="false">IF(C235="","",IFERROR(INDEX(Opportunities!$B:$B,MATCH(C235,Opportunities!$A:$A,0)),""))</f>
        <v/>
      </c>
    </row>
    <row r="236" customFormat="false" ht="15" hidden="false" customHeight="false" outlineLevel="0" collapsed="false">
      <c r="B236" s="3"/>
      <c r="D236" s="4" t="str">
        <f aca="false">IF(C236="","",IFERROR(INDEX(Opportunities!$B:$B,MATCH(C236,Opportunities!$A:$A,0)),""))</f>
        <v/>
      </c>
    </row>
    <row r="237" customFormat="false" ht="15" hidden="false" customHeight="false" outlineLevel="0" collapsed="false">
      <c r="B237" s="3"/>
      <c r="D237" s="4" t="str">
        <f aca="false">IF(C237="","",IFERROR(INDEX(Opportunities!$B:$B,MATCH(C237,Opportunities!$A:$A,0)),""))</f>
        <v/>
      </c>
    </row>
    <row r="238" customFormat="false" ht="15" hidden="false" customHeight="false" outlineLevel="0" collapsed="false">
      <c r="B238" s="3"/>
      <c r="D238" s="4" t="str">
        <f aca="false">IF(C238="","",IFERROR(INDEX(Opportunities!$B:$B,MATCH(C238,Opportunities!$A:$A,0)),""))</f>
        <v/>
      </c>
    </row>
    <row r="239" customFormat="false" ht="15" hidden="false" customHeight="false" outlineLevel="0" collapsed="false">
      <c r="B239" s="3"/>
      <c r="D239" s="4" t="str">
        <f aca="false">IF(C239="","",IFERROR(INDEX(Opportunities!$B:$B,MATCH(C239,Opportunities!$A:$A,0)),""))</f>
        <v/>
      </c>
    </row>
    <row r="240" customFormat="false" ht="15" hidden="false" customHeight="false" outlineLevel="0" collapsed="false">
      <c r="B240" s="3"/>
      <c r="D240" s="4" t="str">
        <f aca="false">IF(C240="","",IFERROR(INDEX(Opportunities!$B:$B,MATCH(C240,Opportunities!$A:$A,0)),""))</f>
        <v/>
      </c>
    </row>
    <row r="241" customFormat="false" ht="15" hidden="false" customHeight="false" outlineLevel="0" collapsed="false">
      <c r="B241" s="3"/>
      <c r="D241" s="4" t="str">
        <f aca="false">IF(C241="","",IFERROR(INDEX(Opportunities!$B:$B,MATCH(C241,Opportunities!$A:$A,0)),""))</f>
        <v/>
      </c>
    </row>
    <row r="242" customFormat="false" ht="15" hidden="false" customHeight="false" outlineLevel="0" collapsed="false">
      <c r="B242" s="3"/>
      <c r="D242" s="4" t="str">
        <f aca="false">IF(C242="","",IFERROR(INDEX(Opportunities!$B:$B,MATCH(C242,Opportunities!$A:$A,0)),""))</f>
        <v/>
      </c>
    </row>
    <row r="243" customFormat="false" ht="15" hidden="false" customHeight="false" outlineLevel="0" collapsed="false">
      <c r="B243" s="3"/>
      <c r="D243" s="4" t="str">
        <f aca="false">IF(C243="","",IFERROR(INDEX(Opportunities!$B:$B,MATCH(C243,Opportunities!$A:$A,0)),""))</f>
        <v/>
      </c>
    </row>
    <row r="244" customFormat="false" ht="15" hidden="false" customHeight="false" outlineLevel="0" collapsed="false">
      <c r="B244" s="3"/>
      <c r="D244" s="4" t="str">
        <f aca="false">IF(C244="","",IFERROR(INDEX(Opportunities!$B:$B,MATCH(C244,Opportunities!$A:$A,0)),""))</f>
        <v/>
      </c>
    </row>
    <row r="245" customFormat="false" ht="15" hidden="false" customHeight="false" outlineLevel="0" collapsed="false">
      <c r="B245" s="3"/>
      <c r="D245" s="4" t="str">
        <f aca="false">IF(C245="","",IFERROR(INDEX(Opportunities!$B:$B,MATCH(C245,Opportunities!$A:$A,0)),""))</f>
        <v/>
      </c>
    </row>
    <row r="246" customFormat="false" ht="15" hidden="false" customHeight="false" outlineLevel="0" collapsed="false">
      <c r="B246" s="3"/>
      <c r="D246" s="4" t="str">
        <f aca="false">IF(C246="","",IFERROR(INDEX(Opportunities!$B:$B,MATCH(C246,Opportunities!$A:$A,0)),""))</f>
        <v/>
      </c>
    </row>
    <row r="247" customFormat="false" ht="15" hidden="false" customHeight="false" outlineLevel="0" collapsed="false">
      <c r="B247" s="3"/>
      <c r="D247" s="4" t="str">
        <f aca="false">IF(C247="","",IFERROR(INDEX(Opportunities!$B:$B,MATCH(C247,Opportunities!$A:$A,0)),""))</f>
        <v/>
      </c>
    </row>
    <row r="248" customFormat="false" ht="15" hidden="false" customHeight="false" outlineLevel="0" collapsed="false">
      <c r="B248" s="3"/>
      <c r="D248" s="4" t="str">
        <f aca="false">IF(C248="","",IFERROR(INDEX(Opportunities!$B:$B,MATCH(C248,Opportunities!$A:$A,0)),""))</f>
        <v/>
      </c>
    </row>
    <row r="249" customFormat="false" ht="15" hidden="false" customHeight="false" outlineLevel="0" collapsed="false">
      <c r="B249" s="3"/>
      <c r="D249" s="4" t="str">
        <f aca="false">IF(C249="","",IFERROR(INDEX(Opportunities!$B:$B,MATCH(C249,Opportunities!$A:$A,0)),""))</f>
        <v/>
      </c>
    </row>
    <row r="250" customFormat="false" ht="15" hidden="false" customHeight="false" outlineLevel="0" collapsed="false">
      <c r="B250" s="3"/>
      <c r="D250" s="4" t="str">
        <f aca="false">IF(C250="","",IFERROR(INDEX(Opportunities!$B:$B,MATCH(C250,Opportunities!$A:$A,0)),""))</f>
        <v/>
      </c>
    </row>
    <row r="251" customFormat="false" ht="15" hidden="false" customHeight="false" outlineLevel="0" collapsed="false">
      <c r="B251" s="3"/>
      <c r="D251" s="4" t="str">
        <f aca="false">IF(C251="","",IFERROR(INDEX(Opportunities!$B:$B,MATCH(C251,Opportunities!$A:$A,0)),""))</f>
        <v/>
      </c>
    </row>
    <row r="252" customFormat="false" ht="15" hidden="false" customHeight="false" outlineLevel="0" collapsed="false">
      <c r="B252" s="3"/>
      <c r="D252" s="4" t="str">
        <f aca="false">IF(C252="","",IFERROR(INDEX(Opportunities!$B:$B,MATCH(C252,Opportunities!$A:$A,0)),""))</f>
        <v/>
      </c>
    </row>
    <row r="253" customFormat="false" ht="15" hidden="false" customHeight="false" outlineLevel="0" collapsed="false">
      <c r="B253" s="3"/>
      <c r="D253" s="4" t="str">
        <f aca="false">IF(C253="","",IFERROR(INDEX(Opportunities!$B:$B,MATCH(C253,Opportunities!$A:$A,0)),""))</f>
        <v/>
      </c>
    </row>
    <row r="254" customFormat="false" ht="15" hidden="false" customHeight="false" outlineLevel="0" collapsed="false">
      <c r="B254" s="3"/>
      <c r="D254" s="4" t="str">
        <f aca="false">IF(C254="","",IFERROR(INDEX(Opportunities!$B:$B,MATCH(C254,Opportunities!$A:$A,0)),""))</f>
        <v/>
      </c>
    </row>
    <row r="255" customFormat="false" ht="15" hidden="false" customHeight="false" outlineLevel="0" collapsed="false">
      <c r="B255" s="3"/>
      <c r="D255" s="4" t="str">
        <f aca="false">IF(C255="","",IFERROR(INDEX(Opportunities!$B:$B,MATCH(C255,Opportunities!$A:$A,0)),""))</f>
        <v/>
      </c>
    </row>
    <row r="256" customFormat="false" ht="15" hidden="false" customHeight="false" outlineLevel="0" collapsed="false">
      <c r="B256" s="3"/>
      <c r="D256" s="4" t="str">
        <f aca="false">IF(C256="","",IFERROR(INDEX(Opportunities!$B:$B,MATCH(C256,Opportunities!$A:$A,0)),""))</f>
        <v/>
      </c>
    </row>
    <row r="257" customFormat="false" ht="15" hidden="false" customHeight="false" outlineLevel="0" collapsed="false">
      <c r="B257" s="3"/>
      <c r="D257" s="4" t="str">
        <f aca="false">IF(C257="","",IFERROR(INDEX(Opportunities!$B:$B,MATCH(C257,Opportunities!$A:$A,0)),""))</f>
        <v/>
      </c>
    </row>
    <row r="258" customFormat="false" ht="15" hidden="false" customHeight="false" outlineLevel="0" collapsed="false">
      <c r="B258" s="3"/>
      <c r="D258" s="4" t="str">
        <f aca="false">IF(C258="","",IFERROR(INDEX(Opportunities!$B:$B,MATCH(C258,Opportunities!$A:$A,0)),""))</f>
        <v/>
      </c>
    </row>
    <row r="259" customFormat="false" ht="15" hidden="false" customHeight="false" outlineLevel="0" collapsed="false">
      <c r="B259" s="3"/>
      <c r="D259" s="4" t="str">
        <f aca="false">IF(C259="","",IFERROR(INDEX(Opportunities!$B:$B,MATCH(C259,Opportunities!$A:$A,0)),""))</f>
        <v/>
      </c>
    </row>
    <row r="260" customFormat="false" ht="15" hidden="false" customHeight="false" outlineLevel="0" collapsed="false">
      <c r="B260" s="3"/>
      <c r="D260" s="4" t="str">
        <f aca="false">IF(C260="","",IFERROR(INDEX(Opportunities!$B:$B,MATCH(C260,Opportunities!$A:$A,0)),""))</f>
        <v/>
      </c>
    </row>
    <row r="261" customFormat="false" ht="15" hidden="false" customHeight="false" outlineLevel="0" collapsed="false">
      <c r="B261" s="3"/>
      <c r="D261" s="4" t="str">
        <f aca="false">IF(C261="","",IFERROR(INDEX(Opportunities!$B:$B,MATCH(C261,Opportunities!$A:$A,0)),""))</f>
        <v/>
      </c>
    </row>
    <row r="262" customFormat="false" ht="15" hidden="false" customHeight="false" outlineLevel="0" collapsed="false">
      <c r="B262" s="3"/>
      <c r="D262" s="4" t="str">
        <f aca="false">IF(C262="","",IFERROR(INDEX(Opportunities!$B:$B,MATCH(C262,Opportunities!$A:$A,0)),""))</f>
        <v/>
      </c>
    </row>
    <row r="263" customFormat="false" ht="15" hidden="false" customHeight="false" outlineLevel="0" collapsed="false">
      <c r="B263" s="3"/>
      <c r="D263" s="4" t="str">
        <f aca="false">IF(C263="","",IFERROR(INDEX(Opportunities!$B:$B,MATCH(C263,Opportunities!$A:$A,0)),""))</f>
        <v/>
      </c>
    </row>
    <row r="264" customFormat="false" ht="15" hidden="false" customHeight="false" outlineLevel="0" collapsed="false">
      <c r="B264" s="3"/>
      <c r="D264" s="4" t="str">
        <f aca="false">IF(C264="","",IFERROR(INDEX(Opportunities!$B:$B,MATCH(C264,Opportunities!$A:$A,0)),""))</f>
        <v/>
      </c>
    </row>
    <row r="265" customFormat="false" ht="15" hidden="false" customHeight="false" outlineLevel="0" collapsed="false">
      <c r="B265" s="3"/>
      <c r="D265" s="4" t="str">
        <f aca="false">IF(C265="","",IFERROR(INDEX(Opportunities!$B:$B,MATCH(C265,Opportunities!$A:$A,0)),""))</f>
        <v/>
      </c>
    </row>
    <row r="266" customFormat="false" ht="15" hidden="false" customHeight="false" outlineLevel="0" collapsed="false">
      <c r="B266" s="3"/>
      <c r="D266" s="4" t="str">
        <f aca="false">IF(C266="","",IFERROR(INDEX(Opportunities!$B:$B,MATCH(C266,Opportunities!$A:$A,0)),""))</f>
        <v/>
      </c>
    </row>
    <row r="267" customFormat="false" ht="15" hidden="false" customHeight="false" outlineLevel="0" collapsed="false">
      <c r="B267" s="3"/>
      <c r="D267" s="4" t="str">
        <f aca="false">IF(C267="","",IFERROR(INDEX(Opportunities!$B:$B,MATCH(C267,Opportunities!$A:$A,0)),""))</f>
        <v/>
      </c>
    </row>
    <row r="268" customFormat="false" ht="15" hidden="false" customHeight="false" outlineLevel="0" collapsed="false">
      <c r="B268" s="3"/>
      <c r="D268" s="4" t="str">
        <f aca="false">IF(C268="","",IFERROR(INDEX(Opportunities!$B:$B,MATCH(C268,Opportunities!$A:$A,0)),""))</f>
        <v/>
      </c>
    </row>
    <row r="269" customFormat="false" ht="15" hidden="false" customHeight="false" outlineLevel="0" collapsed="false">
      <c r="B269" s="3"/>
      <c r="D269" s="4" t="str">
        <f aca="false">IF(C269="","",IFERROR(INDEX(Opportunities!$B:$B,MATCH(C269,Opportunities!$A:$A,0)),""))</f>
        <v/>
      </c>
    </row>
    <row r="270" customFormat="false" ht="15" hidden="false" customHeight="false" outlineLevel="0" collapsed="false">
      <c r="B270" s="3"/>
      <c r="D270" s="4" t="str">
        <f aca="false">IF(C270="","",IFERROR(INDEX(Opportunities!$B:$B,MATCH(C270,Opportunities!$A:$A,0)),""))</f>
        <v/>
      </c>
    </row>
    <row r="271" customFormat="false" ht="15" hidden="false" customHeight="false" outlineLevel="0" collapsed="false">
      <c r="B271" s="3"/>
      <c r="D271" s="4" t="str">
        <f aca="false">IF(C271="","",IFERROR(INDEX(Opportunities!$B:$B,MATCH(C271,Opportunities!$A:$A,0)),""))</f>
        <v/>
      </c>
    </row>
    <row r="272" customFormat="false" ht="15" hidden="false" customHeight="false" outlineLevel="0" collapsed="false">
      <c r="B272" s="3"/>
      <c r="D272" s="4" t="str">
        <f aca="false">IF(C272="","",IFERROR(INDEX(Opportunities!$B:$B,MATCH(C272,Opportunities!$A:$A,0)),""))</f>
        <v/>
      </c>
    </row>
    <row r="273" customFormat="false" ht="15" hidden="false" customHeight="false" outlineLevel="0" collapsed="false">
      <c r="B273" s="3"/>
      <c r="D273" s="4" t="str">
        <f aca="false">IF(C273="","",IFERROR(INDEX(Opportunities!$B:$B,MATCH(C273,Opportunities!$A:$A,0)),""))</f>
        <v/>
      </c>
    </row>
    <row r="274" customFormat="false" ht="15" hidden="false" customHeight="false" outlineLevel="0" collapsed="false">
      <c r="B274" s="3"/>
      <c r="D274" s="4" t="str">
        <f aca="false">IF(C274="","",IFERROR(INDEX(Opportunities!$B:$B,MATCH(C274,Opportunities!$A:$A,0)),""))</f>
        <v/>
      </c>
    </row>
    <row r="275" customFormat="false" ht="15" hidden="false" customHeight="false" outlineLevel="0" collapsed="false">
      <c r="B275" s="3"/>
      <c r="D275" s="4" t="str">
        <f aca="false">IF(C275="","",IFERROR(INDEX(Opportunities!$B:$B,MATCH(C275,Opportunities!$A:$A,0)),""))</f>
        <v/>
      </c>
    </row>
    <row r="276" customFormat="false" ht="15" hidden="false" customHeight="false" outlineLevel="0" collapsed="false">
      <c r="B276" s="3"/>
      <c r="D276" s="4" t="str">
        <f aca="false">IF(C276="","",IFERROR(INDEX(Opportunities!$B:$B,MATCH(C276,Opportunities!$A:$A,0)),""))</f>
        <v/>
      </c>
    </row>
    <row r="277" customFormat="false" ht="15" hidden="false" customHeight="false" outlineLevel="0" collapsed="false">
      <c r="B277" s="3"/>
      <c r="D277" s="4" t="str">
        <f aca="false">IF(C277="","",IFERROR(INDEX(Opportunities!$B:$B,MATCH(C277,Opportunities!$A:$A,0)),""))</f>
        <v/>
      </c>
    </row>
    <row r="278" customFormat="false" ht="15" hidden="false" customHeight="false" outlineLevel="0" collapsed="false">
      <c r="B278" s="3"/>
      <c r="D278" s="4" t="str">
        <f aca="false">IF(C278="","",IFERROR(INDEX(Opportunities!$B:$B,MATCH(C278,Opportunities!$A:$A,0)),""))</f>
        <v/>
      </c>
    </row>
    <row r="279" customFormat="false" ht="15" hidden="false" customHeight="false" outlineLevel="0" collapsed="false">
      <c r="B279" s="3"/>
      <c r="D279" s="4" t="str">
        <f aca="false">IF(C279="","",IFERROR(INDEX(Opportunities!$B:$B,MATCH(C279,Opportunities!$A:$A,0)),""))</f>
        <v/>
      </c>
    </row>
    <row r="280" customFormat="false" ht="15" hidden="false" customHeight="false" outlineLevel="0" collapsed="false">
      <c r="B280" s="3"/>
      <c r="D280" s="4" t="str">
        <f aca="false">IF(C280="","",IFERROR(INDEX(Opportunities!$B:$B,MATCH(C280,Opportunities!$A:$A,0)),""))</f>
        <v/>
      </c>
    </row>
    <row r="281" customFormat="false" ht="15" hidden="false" customHeight="false" outlineLevel="0" collapsed="false">
      <c r="B281" s="3"/>
      <c r="D281" s="4" t="str">
        <f aca="false">IF(C281="","",IFERROR(INDEX(Opportunities!$B:$B,MATCH(C281,Opportunities!$A:$A,0)),""))</f>
        <v/>
      </c>
    </row>
    <row r="282" customFormat="false" ht="15" hidden="false" customHeight="false" outlineLevel="0" collapsed="false">
      <c r="B282" s="3"/>
      <c r="D282" s="4" t="str">
        <f aca="false">IF(C282="","",IFERROR(INDEX(Opportunities!$B:$B,MATCH(C282,Opportunities!$A:$A,0)),""))</f>
        <v/>
      </c>
    </row>
    <row r="283" customFormat="false" ht="15" hidden="false" customHeight="false" outlineLevel="0" collapsed="false">
      <c r="B283" s="3"/>
      <c r="D283" s="4" t="str">
        <f aca="false">IF(C283="","",IFERROR(INDEX(Opportunities!$B:$B,MATCH(C283,Opportunities!$A:$A,0)),""))</f>
        <v/>
      </c>
    </row>
    <row r="284" customFormat="false" ht="15" hidden="false" customHeight="false" outlineLevel="0" collapsed="false">
      <c r="B284" s="3"/>
      <c r="D284" s="4" t="str">
        <f aca="false">IF(C284="","",IFERROR(INDEX(Opportunities!$B:$B,MATCH(C284,Opportunities!$A:$A,0)),""))</f>
        <v/>
      </c>
    </row>
    <row r="285" customFormat="false" ht="15" hidden="false" customHeight="false" outlineLevel="0" collapsed="false">
      <c r="B285" s="3"/>
      <c r="D285" s="4" t="str">
        <f aca="false">IF(C285="","",IFERROR(INDEX(Opportunities!$B:$B,MATCH(C285,Opportunities!$A:$A,0)),""))</f>
        <v/>
      </c>
    </row>
    <row r="286" customFormat="false" ht="15" hidden="false" customHeight="false" outlineLevel="0" collapsed="false">
      <c r="B286" s="3"/>
      <c r="D286" s="4" t="str">
        <f aca="false">IF(C286="","",IFERROR(INDEX(Opportunities!$B:$B,MATCH(C286,Opportunities!$A:$A,0)),""))</f>
        <v/>
      </c>
    </row>
    <row r="287" customFormat="false" ht="15" hidden="false" customHeight="false" outlineLevel="0" collapsed="false">
      <c r="B287" s="3"/>
      <c r="D287" s="4" t="str">
        <f aca="false">IF(C287="","",IFERROR(INDEX(Opportunities!$B:$B,MATCH(C287,Opportunities!$A:$A,0)),""))</f>
        <v/>
      </c>
    </row>
    <row r="288" customFormat="false" ht="15" hidden="false" customHeight="false" outlineLevel="0" collapsed="false">
      <c r="B288" s="3"/>
      <c r="D288" s="4" t="str">
        <f aca="false">IF(C288="","",IFERROR(INDEX(Opportunities!$B:$B,MATCH(C288,Opportunities!$A:$A,0)),""))</f>
        <v/>
      </c>
    </row>
    <row r="289" customFormat="false" ht="15" hidden="false" customHeight="false" outlineLevel="0" collapsed="false">
      <c r="B289" s="3"/>
      <c r="D289" s="4" t="str">
        <f aca="false">IF(C289="","",IFERROR(INDEX(Opportunities!$B:$B,MATCH(C289,Opportunities!$A:$A,0)),""))</f>
        <v/>
      </c>
    </row>
    <row r="290" customFormat="false" ht="15" hidden="false" customHeight="false" outlineLevel="0" collapsed="false">
      <c r="B290" s="3"/>
      <c r="D290" s="4" t="str">
        <f aca="false">IF(C290="","",IFERROR(INDEX(Opportunities!$B:$B,MATCH(C290,Opportunities!$A:$A,0)),""))</f>
        <v/>
      </c>
    </row>
    <row r="291" customFormat="false" ht="15" hidden="false" customHeight="false" outlineLevel="0" collapsed="false">
      <c r="B291" s="3"/>
      <c r="D291" s="4" t="str">
        <f aca="false">IF(C291="","",IFERROR(INDEX(Opportunities!$B:$B,MATCH(C291,Opportunities!$A:$A,0)),""))</f>
        <v/>
      </c>
    </row>
    <row r="292" customFormat="false" ht="15" hidden="false" customHeight="false" outlineLevel="0" collapsed="false">
      <c r="B292" s="3"/>
      <c r="D292" s="4" t="str">
        <f aca="false">IF(C292="","",IFERROR(INDEX(Opportunities!$B:$B,MATCH(C292,Opportunities!$A:$A,0)),""))</f>
        <v/>
      </c>
    </row>
    <row r="293" customFormat="false" ht="15" hidden="false" customHeight="false" outlineLevel="0" collapsed="false">
      <c r="B293" s="3"/>
      <c r="D293" s="4" t="str">
        <f aca="false">IF(C293="","",IFERROR(INDEX(Opportunities!$B:$B,MATCH(C293,Opportunities!$A:$A,0)),""))</f>
        <v/>
      </c>
    </row>
    <row r="294" customFormat="false" ht="15" hidden="false" customHeight="false" outlineLevel="0" collapsed="false">
      <c r="B294" s="3"/>
      <c r="D294" s="4" t="str">
        <f aca="false">IF(C294="","",IFERROR(INDEX(Opportunities!$B:$B,MATCH(C294,Opportunities!$A:$A,0)),""))</f>
        <v/>
      </c>
    </row>
    <row r="295" customFormat="false" ht="15" hidden="false" customHeight="false" outlineLevel="0" collapsed="false">
      <c r="B295" s="3"/>
      <c r="D295" s="4" t="str">
        <f aca="false">IF(C295="","",IFERROR(INDEX(Opportunities!$B:$B,MATCH(C295,Opportunities!$A:$A,0)),""))</f>
        <v/>
      </c>
    </row>
    <row r="296" customFormat="false" ht="15" hidden="false" customHeight="false" outlineLevel="0" collapsed="false">
      <c r="B296" s="3"/>
      <c r="D296" s="4" t="str">
        <f aca="false">IF(C296="","",IFERROR(INDEX(Opportunities!$B:$B,MATCH(C296,Opportunities!$A:$A,0)),""))</f>
        <v/>
      </c>
    </row>
    <row r="297" customFormat="false" ht="15" hidden="false" customHeight="false" outlineLevel="0" collapsed="false">
      <c r="B297" s="3"/>
      <c r="D297" s="4" t="str">
        <f aca="false">IF(C297="","",IFERROR(INDEX(Opportunities!$B:$B,MATCH(C297,Opportunities!$A:$A,0)),""))</f>
        <v/>
      </c>
    </row>
    <row r="298" customFormat="false" ht="15" hidden="false" customHeight="false" outlineLevel="0" collapsed="false">
      <c r="B298" s="3"/>
      <c r="D298" s="4" t="str">
        <f aca="false">IF(C298="","",IFERROR(INDEX(Opportunities!$B:$B,MATCH(C298,Opportunities!$A:$A,0)),""))</f>
        <v/>
      </c>
    </row>
    <row r="299" customFormat="false" ht="15" hidden="false" customHeight="false" outlineLevel="0" collapsed="false">
      <c r="B299" s="3"/>
      <c r="D299" s="4" t="str">
        <f aca="false">IF(C299="","",IFERROR(INDEX(Opportunities!$B:$B,MATCH(C299,Opportunities!$A:$A,0)),""))</f>
        <v/>
      </c>
    </row>
    <row r="300" customFormat="false" ht="15" hidden="false" customHeight="false" outlineLevel="0" collapsed="false">
      <c r="B300" s="3"/>
      <c r="D300" s="4" t="str">
        <f aca="false">IF(C300="","",IFERROR(INDEX(Opportunities!$B:$B,MATCH(C300,Opportunities!$A:$A,0)),""))</f>
        <v/>
      </c>
    </row>
    <row r="301" customFormat="false" ht="15" hidden="false" customHeight="false" outlineLevel="0" collapsed="false">
      <c r="B301" s="3"/>
      <c r="D301" s="4" t="str">
        <f aca="false">IF(C301="","",IFERROR(INDEX(Opportunities!$B:$B,MATCH(C301,Opportunities!$A:$A,0)),""))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6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44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16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6" t="s">
        <v>8</v>
      </c>
      <c r="B1" s="6" t="s">
        <v>47</v>
      </c>
      <c r="C1" s="6" t="s">
        <v>48</v>
      </c>
      <c r="E1" s="6" t="s">
        <v>49</v>
      </c>
      <c r="F1" s="6" t="s">
        <v>50</v>
      </c>
      <c r="G1" s="6" t="s">
        <v>23</v>
      </c>
      <c r="I1" s="6" t="s">
        <v>3</v>
      </c>
      <c r="J1" s="6" t="s">
        <v>6</v>
      </c>
      <c r="K1" s="6" t="s">
        <v>15</v>
      </c>
      <c r="L1" s="6" t="s">
        <v>21</v>
      </c>
      <c r="M1" s="6" t="s">
        <v>51</v>
      </c>
      <c r="N1" s="6" t="s">
        <v>52</v>
      </c>
      <c r="O1" s="6" t="s">
        <v>4</v>
      </c>
    </row>
    <row r="2" customFormat="false" ht="15" hidden="false" customHeight="false" outlineLevel="0" collapsed="false">
      <c r="A2" s="0" t="s">
        <v>53</v>
      </c>
      <c r="B2" s="0" t="s">
        <v>54</v>
      </c>
      <c r="C2" s="0" t="n">
        <v>2</v>
      </c>
      <c r="E2" s="0" t="s">
        <v>55</v>
      </c>
      <c r="F2" s="7"/>
      <c r="G2" s="8" t="s">
        <v>56</v>
      </c>
      <c r="I2" s="8" t="s">
        <v>57</v>
      </c>
      <c r="J2" s="8" t="s">
        <v>58</v>
      </c>
      <c r="K2" s="8" t="s">
        <v>59</v>
      </c>
      <c r="L2" s="8" t="s">
        <v>60</v>
      </c>
      <c r="M2" s="8" t="s">
        <v>61</v>
      </c>
      <c r="N2" s="8" t="s">
        <v>62</v>
      </c>
      <c r="O2" s="8" t="s">
        <v>63</v>
      </c>
    </row>
    <row r="3" customFormat="false" ht="15" hidden="false" customHeight="false" outlineLevel="0" collapsed="false">
      <c r="A3" s="0" t="s">
        <v>64</v>
      </c>
      <c r="B3" s="0" t="s">
        <v>65</v>
      </c>
      <c r="C3" s="0" t="n">
        <v>5</v>
      </c>
      <c r="E3" s="0" t="s">
        <v>66</v>
      </c>
      <c r="F3" s="7"/>
      <c r="G3" s="8" t="s">
        <v>67</v>
      </c>
      <c r="I3" s="8" t="s">
        <v>68</v>
      </c>
      <c r="J3" s="8" t="s">
        <v>69</v>
      </c>
      <c r="K3" s="8" t="s">
        <v>70</v>
      </c>
      <c r="L3" s="8" t="s">
        <v>71</v>
      </c>
      <c r="M3" s="8" t="s">
        <v>72</v>
      </c>
      <c r="N3" s="8" t="s">
        <v>73</v>
      </c>
      <c r="O3" s="8" t="s">
        <v>74</v>
      </c>
    </row>
    <row r="4" customFormat="false" ht="15" hidden="false" customHeight="false" outlineLevel="0" collapsed="false">
      <c r="A4" s="0" t="s">
        <v>75</v>
      </c>
      <c r="B4" s="0" t="s">
        <v>76</v>
      </c>
      <c r="C4" s="0" t="n">
        <v>7</v>
      </c>
      <c r="E4" s="0" t="s">
        <v>77</v>
      </c>
      <c r="F4" s="7"/>
      <c r="I4" s="8" t="s">
        <v>78</v>
      </c>
      <c r="J4" s="8" t="s">
        <v>79</v>
      </c>
      <c r="K4" s="8" t="s">
        <v>80</v>
      </c>
      <c r="L4" s="8" t="s">
        <v>81</v>
      </c>
      <c r="M4" s="8" t="s">
        <v>82</v>
      </c>
      <c r="N4" s="8" t="s">
        <v>83</v>
      </c>
      <c r="O4" s="8" t="s">
        <v>84</v>
      </c>
    </row>
    <row r="5" customFormat="false" ht="15" hidden="false" customHeight="false" outlineLevel="0" collapsed="false">
      <c r="A5" s="0" t="s">
        <v>85</v>
      </c>
      <c r="B5" s="0" t="s">
        <v>86</v>
      </c>
      <c r="C5" s="0" t="n">
        <v>7</v>
      </c>
      <c r="I5" s="0" t="s">
        <v>87</v>
      </c>
      <c r="J5" s="0" t="s">
        <v>88</v>
      </c>
      <c r="L5" s="0" t="s">
        <v>89</v>
      </c>
      <c r="M5" s="0" t="s">
        <v>90</v>
      </c>
      <c r="N5" s="0" t="s">
        <v>91</v>
      </c>
      <c r="O5" s="0" t="s">
        <v>92</v>
      </c>
    </row>
    <row r="6" customFormat="false" ht="15" hidden="false" customHeight="false" outlineLevel="0" collapsed="false">
      <c r="A6" s="0" t="s">
        <v>93</v>
      </c>
      <c r="B6" s="0" t="s">
        <v>94</v>
      </c>
      <c r="C6" s="0" t="n">
        <v>7</v>
      </c>
      <c r="I6" s="0" t="s">
        <v>95</v>
      </c>
      <c r="L6" s="0" t="s">
        <v>96</v>
      </c>
      <c r="M6" s="0" t="s">
        <v>89</v>
      </c>
      <c r="N6" s="0" t="s">
        <v>97</v>
      </c>
      <c r="O6" s="0" t="s">
        <v>83</v>
      </c>
    </row>
    <row r="7" customFormat="false" ht="15" hidden="false" customHeight="false" outlineLevel="0" collapsed="false">
      <c r="A7" s="0" t="s">
        <v>98</v>
      </c>
      <c r="B7" s="0" t="s">
        <v>99</v>
      </c>
      <c r="C7" s="0" t="n">
        <v>7</v>
      </c>
      <c r="I7" s="0" t="s">
        <v>100</v>
      </c>
      <c r="L7" s="0" t="s">
        <v>101</v>
      </c>
      <c r="M7" s="0" t="s">
        <v>102</v>
      </c>
      <c r="N7" s="0" t="s">
        <v>103</v>
      </c>
      <c r="O7" s="0" t="s">
        <v>104</v>
      </c>
    </row>
    <row r="8" customFormat="false" ht="15" hidden="false" customHeight="false" outlineLevel="0" collapsed="false">
      <c r="A8" s="0" t="s">
        <v>105</v>
      </c>
      <c r="B8" s="0" t="s">
        <v>106</v>
      </c>
      <c r="C8" s="0" t="n">
        <v>5</v>
      </c>
      <c r="I8" s="0" t="s">
        <v>107</v>
      </c>
      <c r="N8" s="0" t="s">
        <v>108</v>
      </c>
      <c r="O8" s="0" t="s">
        <v>107</v>
      </c>
    </row>
    <row r="9" customFormat="false" ht="15" hidden="false" customHeight="false" outlineLevel="0" collapsed="false">
      <c r="A9" s="0" t="s">
        <v>109</v>
      </c>
      <c r="B9" s="0" t="s">
        <v>110</v>
      </c>
      <c r="C9" s="0" t="n">
        <v>0</v>
      </c>
    </row>
    <row r="12" customFormat="false" ht="15" hidden="false" customHeight="false" outlineLevel="0" collapsed="false">
      <c r="A12" s="9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2026-10-31T10:41:42Z</dcterms:created>
  <dc:creator>openpyxl</dc:creator>
  <dc:description/>
  <dc:language>en-US</dc:language>
  <cp:lastModifiedBy/>
  <dcterms:modified xsi:type="dcterms:W3CDTF">2026-10-31T10:41:42Z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